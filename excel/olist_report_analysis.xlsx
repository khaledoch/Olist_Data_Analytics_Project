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57" documentId="11_30F482CE930F4AB5223B4086C20BBEC1F1E4DB7A" xr6:coauthVersionLast="47" xr6:coauthVersionMax="47" xr10:uidLastSave="{EE894413-7D99-4077-B1FD-AC602F62CD11}"/>
  <bookViews>
    <workbookView xWindow="0" yWindow="0" windowWidth="16384" windowHeight="8192" tabRatio="500" activeTab="5" xr2:uid="{00000000-000D-0000-FFFF-FFFF00000000}"/>
  </bookViews>
  <sheets>
    <sheet name="dashboard_summary" sheetId="1" r:id="rId1"/>
    <sheet name="monthly_sales" sheetId="2" r:id="rId2"/>
    <sheet name="category_performance" sheetId="3" r:id="rId3"/>
    <sheet name="delivery_performance" sheetId="4" r:id="rId4"/>
    <sheet name="customer_seller" sheetId="5" r:id="rId5"/>
    <sheet name="review_analysis" sheetId="6" r:id="rId6"/>
    <sheet name="raw_data_monthly_sales" sheetId="7" state="hidden" r:id="rId7"/>
    <sheet name="raw_data_category_performance" sheetId="8" state="hidden" r:id="rId8"/>
    <sheet name="raw_data_delivery_performance" sheetId="9" state="hidden" r:id="rId9"/>
    <sheet name="raw_data_customer_seller" sheetId="10" state="hidden" r:id="rId10"/>
    <sheet name="raw_data_review_analysis" sheetId="11" state="hidden" r:id="rId1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4" i="6" l="1"/>
  <c r="D34" i="6"/>
  <c r="C34" i="6"/>
  <c r="B34" i="6"/>
  <c r="A34" i="6"/>
  <c r="E33" i="6"/>
  <c r="D33" i="6"/>
  <c r="C33" i="6"/>
  <c r="B33" i="6"/>
  <c r="A33" i="6"/>
  <c r="E32" i="6"/>
  <c r="D32" i="6"/>
  <c r="C32" i="6"/>
  <c r="B32" i="6"/>
  <c r="A32" i="6"/>
  <c r="E28" i="6"/>
  <c r="D28" i="6"/>
  <c r="C28" i="6"/>
  <c r="B28" i="6"/>
  <c r="A28" i="6"/>
  <c r="E27" i="6"/>
  <c r="D27" i="6"/>
  <c r="C27" i="6"/>
  <c r="B27" i="6"/>
  <c r="A27" i="6"/>
  <c r="E26" i="6"/>
  <c r="D26" i="6"/>
  <c r="C26" i="6"/>
  <c r="B26" i="6"/>
  <c r="A26" i="6"/>
  <c r="E25" i="6"/>
  <c r="D25" i="6"/>
  <c r="C25" i="6"/>
  <c r="B25" i="6"/>
  <c r="A25" i="6"/>
  <c r="E24" i="6"/>
  <c r="D24" i="6"/>
  <c r="C24" i="6"/>
  <c r="B24" i="6"/>
  <c r="A24" i="6"/>
  <c r="E23" i="6"/>
  <c r="D23" i="6"/>
  <c r="C23" i="6"/>
  <c r="B23" i="6"/>
  <c r="A23" i="6"/>
  <c r="E22" i="6"/>
  <c r="D22" i="6"/>
  <c r="C22" i="6"/>
  <c r="B22" i="6"/>
  <c r="A22" i="6"/>
  <c r="E21" i="6"/>
  <c r="D21" i="6"/>
  <c r="C21" i="6"/>
  <c r="B21" i="6"/>
  <c r="A21" i="6"/>
  <c r="E20" i="6"/>
  <c r="D20" i="6"/>
  <c r="C20" i="6"/>
  <c r="B20" i="6"/>
  <c r="A20" i="6"/>
  <c r="E19" i="6"/>
  <c r="D19" i="6"/>
  <c r="C19" i="6"/>
  <c r="B19" i="6"/>
  <c r="A19" i="6"/>
  <c r="E18" i="6"/>
  <c r="D18" i="6"/>
  <c r="C18" i="6"/>
  <c r="B18" i="6"/>
  <c r="A18" i="6"/>
  <c r="E17" i="6"/>
  <c r="D17" i="6"/>
  <c r="C17" i="6"/>
  <c r="B17" i="6"/>
  <c r="A17" i="6"/>
  <c r="E16" i="6"/>
  <c r="D16" i="6"/>
  <c r="C16" i="6"/>
  <c r="B16" i="6"/>
  <c r="A16" i="6"/>
  <c r="E15" i="6"/>
  <c r="D15" i="6"/>
  <c r="C15" i="6"/>
  <c r="B15" i="6"/>
  <c r="A15" i="6"/>
  <c r="E14" i="6"/>
  <c r="D14" i="6"/>
  <c r="C14" i="6"/>
  <c r="B14" i="6"/>
  <c r="A14" i="6"/>
  <c r="E13" i="6"/>
  <c r="D13" i="6"/>
  <c r="C13" i="6"/>
  <c r="B13" i="6"/>
  <c r="A13" i="6"/>
  <c r="E12" i="6"/>
  <c r="D12" i="6"/>
  <c r="C12" i="6"/>
  <c r="B12" i="6"/>
  <c r="A12" i="6"/>
  <c r="E11" i="6"/>
  <c r="D11" i="6"/>
  <c r="C11" i="6"/>
  <c r="B11" i="6"/>
  <c r="A11" i="6"/>
  <c r="E10" i="6"/>
  <c r="D10" i="6"/>
  <c r="C10" i="6"/>
  <c r="B10" i="6"/>
  <c r="A10" i="6"/>
  <c r="E9" i="6"/>
  <c r="D9" i="6"/>
  <c r="C9" i="6"/>
  <c r="B9" i="6"/>
  <c r="A9" i="6"/>
  <c r="E8" i="6"/>
  <c r="D8" i="6"/>
  <c r="C8" i="6"/>
  <c r="B8" i="6"/>
  <c r="A8" i="6"/>
  <c r="E7" i="6"/>
  <c r="D7" i="6"/>
  <c r="C7" i="6"/>
  <c r="B7" i="6"/>
  <c r="A7" i="6"/>
  <c r="E6" i="6"/>
  <c r="D6" i="6"/>
  <c r="C6" i="6"/>
  <c r="B6" i="6"/>
  <c r="A6" i="6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K2" i="5"/>
  <c r="J2" i="5"/>
  <c r="I2" i="5"/>
  <c r="I28" i="4"/>
  <c r="H28" i="4"/>
  <c r="G28" i="4"/>
  <c r="F28" i="4"/>
  <c r="E28" i="4"/>
  <c r="D28" i="4"/>
  <c r="C28" i="4"/>
  <c r="B28" i="4"/>
  <c r="A28" i="4"/>
  <c r="I27" i="4"/>
  <c r="H27" i="4"/>
  <c r="G27" i="4"/>
  <c r="F27" i="4"/>
  <c r="E27" i="4"/>
  <c r="D27" i="4"/>
  <c r="C27" i="4"/>
  <c r="B27" i="4"/>
  <c r="A27" i="4"/>
  <c r="I26" i="4"/>
  <c r="H26" i="4"/>
  <c r="G26" i="4"/>
  <c r="F26" i="4"/>
  <c r="E26" i="4"/>
  <c r="D26" i="4"/>
  <c r="C26" i="4"/>
  <c r="B26" i="4"/>
  <c r="A26" i="4"/>
  <c r="I25" i="4"/>
  <c r="H25" i="4"/>
  <c r="G25" i="4"/>
  <c r="F25" i="4"/>
  <c r="E25" i="4"/>
  <c r="D25" i="4"/>
  <c r="C25" i="4"/>
  <c r="B25" i="4"/>
  <c r="A25" i="4"/>
  <c r="I24" i="4"/>
  <c r="H24" i="4"/>
  <c r="G24" i="4"/>
  <c r="F24" i="4"/>
  <c r="E24" i="4"/>
  <c r="D24" i="4"/>
  <c r="C24" i="4"/>
  <c r="B24" i="4"/>
  <c r="A24" i="4"/>
  <c r="I23" i="4"/>
  <c r="H23" i="4"/>
  <c r="G23" i="4"/>
  <c r="F23" i="4"/>
  <c r="E23" i="4"/>
  <c r="D23" i="4"/>
  <c r="C23" i="4"/>
  <c r="B23" i="4"/>
  <c r="A23" i="4"/>
  <c r="I22" i="4"/>
  <c r="H22" i="4"/>
  <c r="G22" i="4"/>
  <c r="F22" i="4"/>
  <c r="E22" i="4"/>
  <c r="D22" i="4"/>
  <c r="C22" i="4"/>
  <c r="B22" i="4"/>
  <c r="A22" i="4"/>
  <c r="I21" i="4"/>
  <c r="H21" i="4"/>
  <c r="G21" i="4"/>
  <c r="F21" i="4"/>
  <c r="E21" i="4"/>
  <c r="D21" i="4"/>
  <c r="C21" i="4"/>
  <c r="B21" i="4"/>
  <c r="A21" i="4"/>
  <c r="I20" i="4"/>
  <c r="H20" i="4"/>
  <c r="G20" i="4"/>
  <c r="F20" i="4"/>
  <c r="E20" i="4"/>
  <c r="D20" i="4"/>
  <c r="C20" i="4"/>
  <c r="B20" i="4"/>
  <c r="A20" i="4"/>
  <c r="I19" i="4"/>
  <c r="H19" i="4"/>
  <c r="G19" i="4"/>
  <c r="F19" i="4"/>
  <c r="E19" i="4"/>
  <c r="D19" i="4"/>
  <c r="C19" i="4"/>
  <c r="B19" i="4"/>
  <c r="A19" i="4"/>
  <c r="I18" i="4"/>
  <c r="H18" i="4"/>
  <c r="G18" i="4"/>
  <c r="F18" i="4"/>
  <c r="E18" i="4"/>
  <c r="D18" i="4"/>
  <c r="C18" i="4"/>
  <c r="B18" i="4"/>
  <c r="A18" i="4"/>
  <c r="I17" i="4"/>
  <c r="H17" i="4"/>
  <c r="G17" i="4"/>
  <c r="F17" i="4"/>
  <c r="E17" i="4"/>
  <c r="D17" i="4"/>
  <c r="C17" i="4"/>
  <c r="B17" i="4"/>
  <c r="A17" i="4"/>
  <c r="I16" i="4"/>
  <c r="H16" i="4"/>
  <c r="G16" i="4"/>
  <c r="F16" i="4"/>
  <c r="E16" i="4"/>
  <c r="D16" i="4"/>
  <c r="C16" i="4"/>
  <c r="B16" i="4"/>
  <c r="A16" i="4"/>
  <c r="I15" i="4"/>
  <c r="H15" i="4"/>
  <c r="G15" i="4"/>
  <c r="F15" i="4"/>
  <c r="E15" i="4"/>
  <c r="D15" i="4"/>
  <c r="C15" i="4"/>
  <c r="B15" i="4"/>
  <c r="A15" i="4"/>
  <c r="I14" i="4"/>
  <c r="H14" i="4"/>
  <c r="G14" i="4"/>
  <c r="F14" i="4"/>
  <c r="E14" i="4"/>
  <c r="D14" i="4"/>
  <c r="C14" i="4"/>
  <c r="B14" i="4"/>
  <c r="A14" i="4"/>
  <c r="I13" i="4"/>
  <c r="H13" i="4"/>
  <c r="G13" i="4"/>
  <c r="F13" i="4"/>
  <c r="E13" i="4"/>
  <c r="D13" i="4"/>
  <c r="C13" i="4"/>
  <c r="B13" i="4"/>
  <c r="A13" i="4"/>
  <c r="I12" i="4"/>
  <c r="H12" i="4"/>
  <c r="G12" i="4"/>
  <c r="F12" i="4"/>
  <c r="E12" i="4"/>
  <c r="D12" i="4"/>
  <c r="C12" i="4"/>
  <c r="B12" i="4"/>
  <c r="A12" i="4"/>
  <c r="I11" i="4"/>
  <c r="H11" i="4"/>
  <c r="G11" i="4"/>
  <c r="F11" i="4"/>
  <c r="E11" i="4"/>
  <c r="D11" i="4"/>
  <c r="C11" i="4"/>
  <c r="B11" i="4"/>
  <c r="A11" i="4"/>
  <c r="I10" i="4"/>
  <c r="H10" i="4"/>
  <c r="G10" i="4"/>
  <c r="F10" i="4"/>
  <c r="E10" i="4"/>
  <c r="D10" i="4"/>
  <c r="C10" i="4"/>
  <c r="B10" i="4"/>
  <c r="A10" i="4"/>
  <c r="I9" i="4"/>
  <c r="H9" i="4"/>
  <c r="G9" i="4"/>
  <c r="F9" i="4"/>
  <c r="E9" i="4"/>
  <c r="D9" i="4"/>
  <c r="C9" i="4"/>
  <c r="B9" i="4"/>
  <c r="A9" i="4"/>
  <c r="I8" i="4"/>
  <c r="H8" i="4"/>
  <c r="G8" i="4"/>
  <c r="F8" i="4"/>
  <c r="E8" i="4"/>
  <c r="D8" i="4"/>
  <c r="C8" i="4"/>
  <c r="B8" i="4"/>
  <c r="A8" i="4"/>
  <c r="I7" i="4"/>
  <c r="H7" i="4"/>
  <c r="G7" i="4"/>
  <c r="F7" i="4"/>
  <c r="E7" i="4"/>
  <c r="D7" i="4"/>
  <c r="C7" i="4"/>
  <c r="B7" i="4"/>
  <c r="A7" i="4"/>
  <c r="I6" i="4"/>
  <c r="H6" i="4"/>
  <c r="G6" i="4"/>
  <c r="F6" i="4"/>
  <c r="E6" i="4"/>
  <c r="D6" i="4"/>
  <c r="C6" i="4"/>
  <c r="B6" i="4"/>
  <c r="A6" i="4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G80" i="3" s="1"/>
  <c r="F6" i="3"/>
  <c r="F80" i="3" s="1"/>
  <c r="E6" i="3"/>
  <c r="E80" i="3" s="1"/>
  <c r="D6" i="3"/>
  <c r="D80" i="3" s="1"/>
  <c r="C6" i="3"/>
  <c r="C80" i="3" s="1"/>
  <c r="B6" i="3"/>
  <c r="B80" i="3" s="1"/>
  <c r="A6" i="3"/>
  <c r="F30" i="2"/>
  <c r="E30" i="2"/>
  <c r="D30" i="2"/>
  <c r="C30" i="2"/>
  <c r="B30" i="2"/>
  <c r="A30" i="2"/>
  <c r="F29" i="2"/>
  <c r="E29" i="2"/>
  <c r="D29" i="2"/>
  <c r="C29" i="2"/>
  <c r="B29" i="2"/>
  <c r="A29" i="2"/>
  <c r="F28" i="2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F9" i="2"/>
  <c r="E9" i="2"/>
  <c r="D9" i="2"/>
  <c r="C9" i="2"/>
  <c r="B9" i="2"/>
  <c r="A9" i="2"/>
  <c r="F8" i="2"/>
  <c r="E8" i="2"/>
  <c r="D8" i="2"/>
  <c r="C8" i="2"/>
  <c r="B8" i="2"/>
  <c r="A8" i="2"/>
  <c r="F7" i="2"/>
  <c r="E7" i="2"/>
  <c r="D7" i="2"/>
  <c r="C7" i="2"/>
  <c r="B7" i="2"/>
  <c r="A7" i="2"/>
  <c r="F6" i="2"/>
  <c r="F31" i="2" s="1"/>
  <c r="E6" i="2"/>
  <c r="E31" i="2" s="1"/>
  <c r="D6" i="2"/>
  <c r="D31" i="2" s="1"/>
  <c r="C6" i="2"/>
  <c r="C31" i="2" s="1"/>
  <c r="B6" i="2"/>
  <c r="B31" i="2" s="1"/>
  <c r="A6" i="2"/>
  <c r="E34" i="1"/>
  <c r="D34" i="1"/>
  <c r="C34" i="1"/>
  <c r="B34" i="1"/>
  <c r="E30" i="1"/>
  <c r="D30" i="1"/>
  <c r="C30" i="1"/>
  <c r="B30" i="1"/>
  <c r="E26" i="1"/>
  <c r="D26" i="1"/>
  <c r="C26" i="1"/>
  <c r="B26" i="1"/>
  <c r="E22" i="1"/>
  <c r="D22" i="1"/>
  <c r="C22" i="1"/>
  <c r="B22" i="1"/>
  <c r="E18" i="1"/>
  <c r="D18" i="1"/>
  <c r="C18" i="1"/>
  <c r="B18" i="1"/>
</calcChain>
</file>

<file path=xl/sharedStrings.xml><?xml version="1.0" encoding="utf-8"?>
<sst xmlns="http://schemas.openxmlformats.org/spreadsheetml/2006/main" count="342" uniqueCount="288">
  <si>
    <t>Olist E-Commerce Reporting Workbook</t>
  </si>
  <si>
    <t>A reporting layer built on top of the SQL analysis in this project — summary tables and charts, not raw exploration.</t>
  </si>
  <si>
    <t>How this workbook is organized</t>
  </si>
  <si>
    <t>Sheet</t>
  </si>
  <si>
    <t>What it shows</t>
  </si>
  <si>
    <t>Source query</t>
  </si>
  <si>
    <t>Status</t>
  </si>
  <si>
    <t>monthly_sales</t>
  </si>
  <si>
    <t>Order volume, revenue, and cancellations by month.</t>
  </si>
  <si>
    <t>2_monthly_sales.sql</t>
  </si>
  <si>
    <t>Ready</t>
  </si>
  <si>
    <t>category_performance</t>
  </si>
  <si>
    <t>Which product categories drive the most delivered value.</t>
  </si>
  <si>
    <t>3_category_performance.sql</t>
  </si>
  <si>
    <t>delivery_performance</t>
  </si>
  <si>
    <t>Delivery timing and how it relates to review scores.</t>
  </si>
  <si>
    <t>4_delivery_performance.sql</t>
  </si>
  <si>
    <t>customer_seller</t>
  </si>
  <si>
    <t>Repeat-customer rate and seller revenue concentration.</t>
  </si>
  <si>
    <t>5_customer_seller_analysis.sql</t>
  </si>
  <si>
    <t>review_analysis</t>
  </si>
  <si>
    <t>Review score distribution and low-review drivers.</t>
  </si>
  <si>
    <t>6_review_analysis.sql</t>
  </si>
  <si>
    <t>Scope note: this workbook holds clean summary tables and basic charts only. Deeper statistical analysis (correlations, cohorts) lives in the Python notebooks; polished interactive visuals are built in Power BI.</t>
  </si>
  <si>
    <t>Headline numbers — monthly_sales</t>
  </si>
  <si>
    <t>Total Delivered Value</t>
  </si>
  <si>
    <t>Total Delivered Orders</t>
  </si>
  <si>
    <t>Total Canceled Orders</t>
  </si>
  <si>
    <t>Avg. Order Value (overall)</t>
  </si>
  <si>
    <t>Headline numbers — category_performance</t>
  </si>
  <si>
    <t>Top Category (by Value)</t>
  </si>
  <si>
    <t>Top Category Revenue</t>
  </si>
  <si>
    <t>Total Categories</t>
  </si>
  <si>
    <t>Avg Category Order Value</t>
  </si>
  <si>
    <t>Headline numbers — delivery_performance</t>
  </si>
  <si>
    <t>Avg Early Rate</t>
  </si>
  <si>
    <t>Avg On-Time Rate</t>
  </si>
  <si>
    <t>Avg Late Rate</t>
  </si>
  <si>
    <t>Headline numbers — customer_seller</t>
  </si>
  <si>
    <t>Total Cohort Customers</t>
  </si>
  <si>
    <t>Repeat Customer Rate (overall)</t>
  </si>
  <si>
    <t>Avg Revenue / Customer</t>
  </si>
  <si>
    <t>Top Seller Revenue</t>
  </si>
  <si>
    <t>Headline numbers — review_analysis</t>
  </si>
  <si>
    <t>Avg Review Score (Early)</t>
  </si>
  <si>
    <t>Avg Review Score (Late)</t>
  </si>
  <si>
    <t>Low-Review Rate (Early)</t>
  </si>
  <si>
    <t>Low-Review Rate (Late)</t>
  </si>
  <si>
    <t>Monthly Sales</t>
  </si>
  <si>
    <t>Question answered: how did completed sales, order value, and cancellations move month by month?</t>
  </si>
  <si>
    <t>Delivered-order KPIs only. Values link to raw_data_monthly_sales (green text = cross-sheet formula).</t>
  </si>
  <si>
    <t>Month</t>
  </si>
  <si>
    <t>Total Order Value</t>
  </si>
  <si>
    <t>Delivered Orders</t>
  </si>
  <si>
    <t>Canceled Orders</t>
  </si>
  <si>
    <t>Average Order Value</t>
  </si>
  <si>
    <t>Freight Value</t>
  </si>
  <si>
    <t>Total / Avg</t>
  </si>
  <si>
    <t>Data quality note: Sep-Oct 2018 show 0 delivered orders — dataset extraction cutoff, not a real sales collapse. Excluded from visual emphasis above.</t>
  </si>
  <si>
    <t>Category Performance</t>
  </si>
  <si>
    <t>Question answered: which product categories drive the highest volume, revenue, and order value?</t>
  </si>
  <si>
    <t>Delivered-order KPIs only. Values link to raw_data_category_performance (green text = cross-sheet formula).</t>
  </si>
  <si>
    <t>Product Category</t>
  </si>
  <si>
    <t>Product Revenue</t>
  </si>
  <si>
    <t>Items Sold</t>
  </si>
  <si>
    <t>Showing all 74 categories, sorted by total order value. Chart shows the top 10 only. 'Unknown' groups products missing a category label in the source data.</t>
  </si>
  <si>
    <t>Want to explore interactively? Select A5:G79 in Excel, Insert &gt; Table, then Insert &gt; Slicer on 'Product Category' to filter the chart by category live. Slicers can't be created from a script and need to be added once in the desktop/web app.</t>
  </si>
  <si>
    <t>Delivery Performance</t>
  </si>
  <si>
    <t>Question answered: how reliably were orders delivered over time, and what's the early/on-time/late breakdown?</t>
  </si>
  <si>
    <t>Delivered-order KPIs only. Values link to raw_data_delivery_performance (green text = cross-sheet formula).</t>
  </si>
  <si>
    <t>Avg Delivery Days</t>
  </si>
  <si>
    <t>Early Orders</t>
  </si>
  <si>
    <t>On-Time Orders</t>
  </si>
  <si>
    <t>Late Orders</t>
  </si>
  <si>
    <t>Early Rate</t>
  </si>
  <si>
    <t>On-Time Rate</t>
  </si>
  <si>
    <t>Late Rate</t>
  </si>
  <si>
    <t>Highlighted rows (Nov 2017 - Mar 2018) mark the operational stress window where late-delivery rate climbed noticeably above the rest of the timeline.</t>
  </si>
  <si>
    <t>Customer &amp; Seller Analysis</t>
  </si>
  <si>
    <t>Repeat Customer Rate
(overall)</t>
  </si>
  <si>
    <t>Avg Revenue / Customer
(overall)</t>
  </si>
  <si>
    <t>Question answered: cohort size, repeat-customer rate, average revenue per customer, and top sellers by delivered revenue.</t>
  </si>
  <si>
    <t>Delivered-order KPIs only. Values link to raw_data_customer_seller (green text = cross-sheet formula).</t>
  </si>
  <si>
    <t>Cohort Month</t>
  </si>
  <si>
    <t>Cohort Customers</t>
  </si>
  <si>
    <t>Repeat Customers</t>
  </si>
  <si>
    <t>Avg Orders/Customer</t>
  </si>
  <si>
    <t>Avg Revenue/Customer</t>
  </si>
  <si>
    <t>Total Cohort Revenue</t>
  </si>
  <si>
    <t>Repeat Customer Rate</t>
  </si>
  <si>
    <t>Top 15 Sellers by Delivered Revenue</t>
  </si>
  <si>
    <t>Seller Rank</t>
  </si>
  <si>
    <t>Seller ID</t>
  </si>
  <si>
    <t>Total Seller Revenue</t>
  </si>
  <si>
    <t>Avg Order Value</t>
  </si>
  <si>
    <t>Seller 1</t>
  </si>
  <si>
    <t>Seller 2</t>
  </si>
  <si>
    <t>Seller 3</t>
  </si>
  <si>
    <t>Seller 4</t>
  </si>
  <si>
    <t>Seller 5</t>
  </si>
  <si>
    <t>Seller 6</t>
  </si>
  <si>
    <t>Seller 7</t>
  </si>
  <si>
    <t>Seller 8</t>
  </si>
  <si>
    <t>Seller 9</t>
  </si>
  <si>
    <t>Seller 10</t>
  </si>
  <si>
    <t>Seller 11</t>
  </si>
  <si>
    <t>Seller 12</t>
  </si>
  <si>
    <t>Seller 13</t>
  </si>
  <si>
    <t>Seller 14</t>
  </si>
  <si>
    <t>Seller 15</t>
  </si>
  <si>
    <t>Note: seller_id values are anonymized hashes from the source data; 'Seller Rank' is added here for readable chart labels.</t>
  </si>
  <si>
    <t>Review Analysis</t>
  </si>
  <si>
    <t>Question answered: average review score by delivery status, low-review rate by delivery status, and monthly review trend.</t>
  </si>
  <si>
    <t>Delivered-order KPIs only. Values link to raw_data_review_analysis (green text = cross-sheet formula).</t>
  </si>
  <si>
    <t>Review Month</t>
  </si>
  <si>
    <t>Reviewed Orders</t>
  </si>
  <si>
    <t>Avg Review Score</t>
  </si>
  <si>
    <t>Low Review Orders</t>
  </si>
  <si>
    <t>Low Review Rate</t>
  </si>
  <si>
    <t>Review Score by Delivery Status</t>
  </si>
  <si>
    <t>Delivery Status</t>
  </si>
  <si>
    <t>Sample-size caveat: on-time has only 1,280 reviewed orders vs. 88,163 (early) and 6,381 (late). Treat on-time as directional context, not an equally weighted third group — the early-vs-late contrast is the strongest, most defensible comparison here.</t>
  </si>
  <si>
    <t>This table is the strongest evidence in the workbook that delivery issues affected customer satisfaction: average review score drops from 4.29 (early) to 2.27 (late), and the low-review rate jumps from 9.19% to 62.36%.</t>
  </si>
  <si>
    <t>Raw Query Output — 2_monthly_sales.sql</t>
  </si>
  <si>
    <t>Untouched export from Postgres. The monthly_sales tab references these cells by formula — do not hand-edit values here.</t>
  </si>
  <si>
    <t>sales_month</t>
  </si>
  <si>
    <t>all_orders</t>
  </si>
  <si>
    <t>delivered_orders</t>
  </si>
  <si>
    <t>canceled_orders</t>
  </si>
  <si>
    <t>unavailable_orders</t>
  </si>
  <si>
    <t>other_orders</t>
  </si>
  <si>
    <t>delivered_orders_with_items</t>
  </si>
  <si>
    <t>items_sold</t>
  </si>
  <si>
    <t>product_revenue</t>
  </si>
  <si>
    <t>freight_value</t>
  </si>
  <si>
    <t>total_order_value</t>
  </si>
  <si>
    <t>average_order_value</t>
  </si>
  <si>
    <t>Raw Query Output — 3_category_performance.sql</t>
  </si>
  <si>
    <t>Untouched export from Postgres. The display tab references these cells by formula — do not hand-edit values here.</t>
  </si>
  <si>
    <t>product_category</t>
  </si>
  <si>
    <t>average_category_order_value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</si>
  <si>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</si>
  <si>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</si>
  <si>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</si>
  <si>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</si>
  <si>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</si>
  <si>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</si>
  <si>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</si>
  <si>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</si>
  <si>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</si>
  <si>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</si>
  <si>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</si>
  <si>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</si>
  <si>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</si>
  <si>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</si>
  <si>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</si>
  <si>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</si>
  <si>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pet_shop</t>
  </si>
  <si>
    <t>computers</t>
  </si>
  <si>
    <t>musical_instruments</t>
  </si>
  <si>
    <t>electronics</t>
  </si>
  <si>
    <t>small_appliances</t>
  </si>
  <si>
    <t>Unknown</t>
  </si>
  <si>
    <t>fashion_bags_accessories</t>
  </si>
  <si>
    <t>luggage_accessories</t>
  </si>
  <si>
    <t>consoles_games</t>
  </si>
  <si>
    <t>construction_tools_construction</t>
  </si>
  <si>
    <t>home_appliances_2</t>
  </si>
  <si>
    <t>home_construction</t>
  </si>
  <si>
    <t>home_appliances</t>
  </si>
  <si>
    <t>furniture_living_room</t>
  </si>
  <si>
    <t>agro_industry_and_commerce</t>
  </si>
  <si>
    <t>home_confort</t>
  </si>
  <si>
    <t>air_conditioning</t>
  </si>
  <si>
    <t>fixed_telephony</t>
  </si>
  <si>
    <t>kitchen_dining_laundry_garden_furniture</t>
  </si>
  <si>
    <t>audio</t>
  </si>
  <si>
    <t>books_general_interest</t>
  </si>
  <si>
    <t>small_appliances_home_oven_and_coffee</t>
  </si>
  <si>
    <t>construction_tools_lights</t>
  </si>
  <si>
    <t>industry_commerce_and_business</t>
  </si>
  <si>
    <t>construction_tools_safety</t>
  </si>
  <si>
    <t>food</t>
  </si>
  <si>
    <t>market_place</t>
  </si>
  <si>
    <t>costruction_tools_garden</t>
  </si>
  <si>
    <t>fashion_shoes</t>
  </si>
  <si>
    <t>signaling_and_security</t>
  </si>
  <si>
    <t>art</t>
  </si>
  <si>
    <t>drinks</t>
  </si>
  <si>
    <t>furniture_bedroom</t>
  </si>
  <si>
    <t>books_technical</t>
  </si>
  <si>
    <t>food_drink</t>
  </si>
  <si>
    <t>costruction_tools_tools</t>
  </si>
  <si>
    <t>fashion_male_clothing</t>
  </si>
  <si>
    <t>christmas_supplies</t>
  </si>
  <si>
    <t>fashion_underwear_beach</t>
  </si>
  <si>
    <t>tablets_printing_image</t>
  </si>
  <si>
    <t>cine_photo</t>
  </si>
  <si>
    <t>music</t>
  </si>
  <si>
    <t>furniture_mattress_and_upholstery</t>
  </si>
  <si>
    <t>dvds_blu_ray</t>
  </si>
  <si>
    <t>party_supplies</t>
  </si>
  <si>
    <t>books_imported</t>
  </si>
  <si>
    <t>portateis_cozinha_e_preparadores_de_alimentos</t>
  </si>
  <si>
    <t>fashio_female_clothing</t>
  </si>
  <si>
    <t>fashion_sport</t>
  </si>
  <si>
    <t>la_cuisine</t>
  </si>
  <si>
    <t>arts_and_craftmanship</t>
  </si>
  <si>
    <t>diapers_and_hygiene</t>
  </si>
  <si>
    <t>flowers</t>
  </si>
  <si>
    <t>pc_gamer</t>
  </si>
  <si>
    <t>home_comfort_2</t>
  </si>
  <si>
    <t>cds_dvds_musicals</t>
  </si>
  <si>
    <t>fashion_childrens_clothes</t>
  </si>
  <si>
    <t>security_and_services</t>
  </si>
  <si>
    <t>Raw Query Output — 4_delivery_performance.sql</t>
  </si>
  <si>
    <t>delivered_orders_with_valid_dates</t>
  </si>
  <si>
    <t>average_delivery_days</t>
  </si>
  <si>
    <t>average_days_early</t>
  </si>
  <si>
    <t>average_days_late</t>
  </si>
  <si>
    <t>early_orders</t>
  </si>
  <si>
    <t>on_time_orders</t>
  </si>
  <si>
    <t>late_orders</t>
  </si>
  <si>
    <t>early_rate_percent</t>
  </si>
  <si>
    <t>on_time_rate_percent</t>
  </si>
  <si>
    <t>late_rate_percent</t>
  </si>
  <si>
    <t>Raw Query Output — 5_customer_seller_analysis.sql</t>
  </si>
  <si>
    <t>cohort_month</t>
  </si>
  <si>
    <t>cohort_customers</t>
  </si>
  <si>
    <t>repeat_customers</t>
  </si>
  <si>
    <t>avg_orders_per_customer</t>
  </si>
  <si>
    <t>avg_revenue_per_customer</t>
  </si>
  <si>
    <t>total_cohort_revenue</t>
  </si>
  <si>
    <t>repeat_customer_rate_percent</t>
  </si>
  <si>
    <t>2016-09-01</t>
  </si>
  <si>
    <t>2016-10-01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</si>
  <si>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</si>
  <si>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</si>
  <si>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</si>
  <si>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</si>
  <si>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</si>
  <si>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</si>
  <si>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</si>
  <si>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</si>
  <si>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</si>
  <si>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</si>
  <si>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</si>
  <si>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</si>
  <si>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</si>
  <si>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</si>
  <si>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</si>
  <si>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</si>
  <si>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</si>
  <si>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</si>
  <si>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</si>
  <si>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</si>
  <si>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</si>
  <si>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Top 15 sellers by delivered revenue (same query, second result set)</t>
  </si>
  <si>
    <t>seller_id</t>
  </si>
  <si>
    <t>total_seller_revenue</t>
  </si>
  <si>
    <t>avg_order_value</t>
  </si>
  <si>
    <t>4869f7a5dfa277a7dca6462dcf3b52b2</t>
  </si>
  <si>
    <t>7c67e1448b00f6e969d365cea6b010ab</t>
  </si>
  <si>
    <t>4a3ca9315b744ce9f8e9374361493884</t>
  </si>
  <si>
    <t>53243585a1d6dc2643021fd1853d8905</t>
  </si>
  <si>
    <t>fa1c13f2614d7b5c4749cbc52fecda94</t>
  </si>
  <si>
    <t>da8622b14eb17ae2831f4ac5b9dab84a</t>
  </si>
  <si>
    <t>7e93a43ef30c4f03f38b393420bc753a</t>
  </si>
  <si>
    <t>1025f0e2d44d7041d6cf58b6550e0bfa</t>
  </si>
  <si>
    <t>7a67c85e85bb2ce8582c35f2203ad736</t>
  </si>
  <si>
    <t>955fee9216a65b617aa5c0531780ce60</t>
  </si>
  <si>
    <t>6560211a19b47992c3666cc44a7e94c0</t>
  </si>
  <si>
    <t>1f50f920176fa81dab994f9023523100</t>
  </si>
  <si>
    <t>46dc3b2cc0980fb8ec44634e21d2718e</t>
  </si>
  <si>
    <t>a1043bafd471dff536d0c462352beb48</t>
  </si>
  <si>
    <t>620c87c171fb2a6dd6e8bb4dec959fc6</t>
  </si>
  <si>
    <t>Raw Query Output — 6_review_analysis.sql</t>
  </si>
  <si>
    <t>review_month</t>
  </si>
  <si>
    <t>reviewed_delivered_orders</t>
  </si>
  <si>
    <t>average_review_score</t>
  </si>
  <si>
    <t>low_review_orders</t>
  </si>
  <si>
    <t>low_review_rate_percent</t>
  </si>
  <si>
    <t>Review score by delivery status (same query, second result set)</t>
  </si>
  <si>
    <t>delivery_status</t>
  </si>
  <si>
    <t>reviewed_orders</t>
  </si>
  <si>
    <t>Early</t>
  </si>
  <si>
    <t>On Time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</si>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</sst>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\);\-"/>
    <numFmt numFmtId="165" formatCode="#,##0;\(#,##0\);\-"/>
    <numFmt numFmtId="166" formatCode="0.0%;\(0.0%\);\-"/>
    <numFmt numFmtId="167" formatCode="mmm\ yyyy"/>
    <numFmt numFmtId="170" formatCode="0.00\%"/>
  </numFmts>
  <fonts count="13">
    <font>
      <sz val="11"/>
      <color theme="1"/>
      <name val="Calibri"/>
      <family val="2"/>
      <charset val="1"/>
    </font>
    <font>
      <b/>
      <sz val="20"/>
      <color rgb="FF1F4E78"/>
      <name val="Arial"/>
      <charset val="1"/>
    </font>
    <font>
      <i/>
      <sz val="12"/>
      <color rgb="FF666666"/>
      <name val="Arial"/>
      <charset val="1"/>
    </font>
    <font>
      <b/>
      <sz val="13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0"/>
      <color rgb="FF008000"/>
      <name val="Arial"/>
      <charset val="1"/>
    </font>
    <font>
      <b/>
      <sz val="9"/>
      <color rgb="FFFFFFFF"/>
      <name val="Arial"/>
      <charset val="1"/>
    </font>
    <font>
      <b/>
      <sz val="16"/>
      <color rgb="FF1F4E78"/>
      <name val="Arial"/>
      <charset val="1"/>
    </font>
    <font>
      <sz val="10"/>
      <color rgb="FF008000"/>
      <name val="Arial"/>
      <charset val="1"/>
    </font>
    <font>
      <b/>
      <sz val="14"/>
      <color rgb="FF1F4E7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CE6F1"/>
        <bgColor rgb="FFD9D9D9"/>
      </patternFill>
    </fill>
    <fill>
      <patternFill patternType="solid">
        <fgColor rgb="FFF2F6FB"/>
        <bgColor rgb="FFF9F9F9"/>
      </patternFill>
    </fill>
    <fill>
      <patternFill patternType="solid">
        <fgColor rgb="FFFDEEEE"/>
        <bgColor rgb="FFF9F9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double">
        <color rgb="FF1F4E78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0" xfId="0" applyFont="1"/>
    <xf numFmtId="0" fontId="9" fillId="3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0" fontId="10" fillId="0" borderId="0" xfId="0" applyFont="1"/>
    <xf numFmtId="167" fontId="11" fillId="0" borderId="1" xfId="0" applyNumberFormat="1" applyFont="1" applyBorder="1" applyAlignment="1">
      <alignment horizontal="left"/>
    </xf>
    <xf numFmtId="164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7" fontId="11" fillId="5" borderId="1" xfId="0" applyNumberFormat="1" applyFont="1" applyFill="1" applyBorder="1" applyAlignment="1">
      <alignment horizontal="left"/>
    </xf>
    <xf numFmtId="164" fontId="11" fillId="5" borderId="1" xfId="0" applyNumberFormat="1" applyFont="1" applyFill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0" fontId="5" fillId="4" borderId="2" xfId="0" applyFont="1" applyFill="1" applyBorder="1"/>
    <xf numFmtId="164" fontId="5" fillId="4" borderId="2" xfId="0" applyNumberFormat="1" applyFont="1" applyFill="1" applyBorder="1"/>
    <xf numFmtId="165" fontId="5" fillId="4" borderId="2" xfId="0" applyNumberFormat="1" applyFont="1" applyFill="1" applyBorder="1"/>
    <xf numFmtId="0" fontId="11" fillId="0" borderId="1" xfId="0" applyFont="1" applyBorder="1"/>
    <xf numFmtId="164" fontId="11" fillId="0" borderId="1" xfId="0" applyNumberFormat="1" applyFont="1" applyBorder="1"/>
    <xf numFmtId="165" fontId="11" fillId="0" borderId="1" xfId="0" applyNumberFormat="1" applyFont="1" applyBorder="1"/>
    <xf numFmtId="0" fontId="11" fillId="5" borderId="1" xfId="0" applyFont="1" applyFill="1" applyBorder="1"/>
    <xf numFmtId="164" fontId="11" fillId="5" borderId="1" xfId="0" applyNumberFormat="1" applyFont="1" applyFill="1" applyBorder="1"/>
    <xf numFmtId="165" fontId="11" fillId="5" borderId="1" xfId="0" applyNumberFormat="1" applyFont="1" applyFill="1" applyBorder="1"/>
    <xf numFmtId="167" fontId="11" fillId="0" borderId="1" xfId="0" applyNumberFormat="1" applyFont="1" applyBorder="1"/>
    <xf numFmtId="2" fontId="11" fillId="0" borderId="1" xfId="0" applyNumberFormat="1" applyFont="1" applyBorder="1"/>
    <xf numFmtId="166" fontId="11" fillId="0" borderId="1" xfId="0" applyNumberFormat="1" applyFont="1" applyBorder="1"/>
    <xf numFmtId="167" fontId="11" fillId="5" borderId="1" xfId="0" applyNumberFormat="1" applyFont="1" applyFill="1" applyBorder="1"/>
    <xf numFmtId="2" fontId="11" fillId="5" borderId="1" xfId="0" applyNumberFormat="1" applyFont="1" applyFill="1" applyBorder="1"/>
    <xf numFmtId="166" fontId="11" fillId="5" borderId="1" xfId="0" applyNumberFormat="1" applyFont="1" applyFill="1" applyBorder="1"/>
    <xf numFmtId="167" fontId="11" fillId="6" borderId="1" xfId="0" applyNumberFormat="1" applyFont="1" applyFill="1" applyBorder="1"/>
    <xf numFmtId="165" fontId="11" fillId="6" borderId="1" xfId="0" applyNumberFormat="1" applyFont="1" applyFill="1" applyBorder="1"/>
    <xf numFmtId="2" fontId="11" fillId="6" borderId="1" xfId="0" applyNumberFormat="1" applyFont="1" applyFill="1" applyBorder="1"/>
    <xf numFmtId="166" fontId="11" fillId="6" borderId="1" xfId="0" applyNumberFormat="1" applyFont="1" applyFill="1" applyBorder="1"/>
    <xf numFmtId="166" fontId="12" fillId="4" borderId="0" xfId="0" applyNumberFormat="1" applyFont="1" applyFill="1" applyAlignment="1">
      <alignment horizontal="center"/>
    </xf>
    <xf numFmtId="164" fontId="12" fillId="4" borderId="0" xfId="0" applyNumberFormat="1" applyFont="1" applyFill="1" applyAlignment="1">
      <alignment horizontal="center"/>
    </xf>
    <xf numFmtId="0" fontId="6" fillId="0" borderId="1" xfId="0" applyFont="1" applyBorder="1"/>
    <xf numFmtId="0" fontId="6" fillId="5" borderId="1" xfId="0" applyFont="1" applyFill="1" applyBorder="1"/>
    <xf numFmtId="0" fontId="4" fillId="2" borderId="0" xfId="0" applyFont="1" applyFill="1" applyAlignment="1">
      <alignment horizontal="center"/>
    </xf>
    <xf numFmtId="167" fontId="6" fillId="0" borderId="1" xfId="0" applyNumberFormat="1" applyFont="1" applyBorder="1"/>
    <xf numFmtId="165" fontId="6" fillId="0" borderId="1" xfId="0" applyNumberFormat="1" applyFont="1" applyBorder="1"/>
    <xf numFmtId="164" fontId="6" fillId="0" borderId="1" xfId="0" applyNumberFormat="1" applyFont="1" applyBorder="1"/>
    <xf numFmtId="2" fontId="6" fillId="0" borderId="1" xfId="0" applyNumberFormat="1" applyFont="1" applyBorder="1"/>
    <xf numFmtId="170" fontId="6" fillId="0" borderId="1" xfId="0" applyNumberFormat="1" applyFont="1" applyBorder="1"/>
    <xf numFmtId="0" fontId="2" fillId="0" borderId="0" xfId="0" applyFont="1" applyAlignment="1"/>
    <xf numFmtId="0" fontId="3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3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CCFFCC"/>
      <rgbColor rgb="FFFDEEEE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Order Value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monthly_sales!B5</c:f>
              <c:strCache>
                <c:ptCount val="1"/>
                <c:pt idx="0">
                  <c:v>Total Order Value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monthly_sales!$A$6:$A$30</c:f>
              <c:numCache>
                <c:formatCode>mmm\ 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monthly_sales!$B$6:$B$30</c:f>
              <c:numCache>
                <c:formatCode>\$#,##0.00;"($"#,##0.00\);\-</c:formatCode>
                <c:ptCount val="25"/>
                <c:pt idx="0">
                  <c:v>143.46</c:v>
                </c:pt>
                <c:pt idx="1">
                  <c:v>46490.66</c:v>
                </c:pt>
                <c:pt idx="2">
                  <c:v>19.62</c:v>
                </c:pt>
                <c:pt idx="3">
                  <c:v>127482.37</c:v>
                </c:pt>
                <c:pt idx="4">
                  <c:v>271239.32</c:v>
                </c:pt>
                <c:pt idx="5">
                  <c:v>414330.95</c:v>
                </c:pt>
                <c:pt idx="6">
                  <c:v>390812.4</c:v>
                </c:pt>
                <c:pt idx="7">
                  <c:v>566851.4</c:v>
                </c:pt>
                <c:pt idx="8">
                  <c:v>490050.37</c:v>
                </c:pt>
                <c:pt idx="9">
                  <c:v>566299.07999999996</c:v>
                </c:pt>
                <c:pt idx="10">
                  <c:v>645832.36</c:v>
                </c:pt>
                <c:pt idx="11">
                  <c:v>701077.49</c:v>
                </c:pt>
                <c:pt idx="12">
                  <c:v>751117.01</c:v>
                </c:pt>
                <c:pt idx="13">
                  <c:v>1153364.2</c:v>
                </c:pt>
                <c:pt idx="14">
                  <c:v>843078.29</c:v>
                </c:pt>
                <c:pt idx="15">
                  <c:v>1077887.46</c:v>
                </c:pt>
                <c:pt idx="16">
                  <c:v>966168.41</c:v>
                </c:pt>
                <c:pt idx="17">
                  <c:v>1120598.24</c:v>
                </c:pt>
                <c:pt idx="18">
                  <c:v>1132878.93</c:v>
                </c:pt>
                <c:pt idx="19">
                  <c:v>1128774.52</c:v>
                </c:pt>
                <c:pt idx="20">
                  <c:v>1011978.29</c:v>
                </c:pt>
                <c:pt idx="21">
                  <c:v>1027807.28</c:v>
                </c:pt>
                <c:pt idx="22">
                  <c:v>985491.64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F-409F-BC3F-A5D8C99FD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0376710"/>
        <c:axId val="66396490"/>
      </c:lineChart>
      <c:dateAx>
        <c:axId val="903767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396490"/>
        <c:crosses val="autoZero"/>
        <c:auto val="1"/>
        <c:lblOffset val="100"/>
        <c:baseTimeUnit val="months"/>
      </c:dateAx>
      <c:valAx>
        <c:axId val="66396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Order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3767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Canceled Orders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monthly_sales!D5</c:f>
              <c:strCache>
                <c:ptCount val="1"/>
                <c:pt idx="0">
                  <c:v>Canceled Orders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monthly_sales!$A$6:$A$30</c:f>
              <c:numCache>
                <c:formatCode>mmm\ 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monthly_sales!$D$6:$D$30</c:f>
              <c:numCache>
                <c:formatCode>#,##0;\(#,##0\);\-</c:formatCode>
                <c:ptCount val="25"/>
                <c:pt idx="0">
                  <c:v>2</c:v>
                </c:pt>
                <c:pt idx="1">
                  <c:v>24</c:v>
                </c:pt>
                <c:pt idx="2">
                  <c:v>0</c:v>
                </c:pt>
                <c:pt idx="3">
                  <c:v>3</c:v>
                </c:pt>
                <c:pt idx="4">
                  <c:v>17</c:v>
                </c:pt>
                <c:pt idx="5">
                  <c:v>33</c:v>
                </c:pt>
                <c:pt idx="6">
                  <c:v>18</c:v>
                </c:pt>
                <c:pt idx="7">
                  <c:v>29</c:v>
                </c:pt>
                <c:pt idx="8">
                  <c:v>16</c:v>
                </c:pt>
                <c:pt idx="9">
                  <c:v>28</c:v>
                </c:pt>
                <c:pt idx="10">
                  <c:v>27</c:v>
                </c:pt>
                <c:pt idx="11">
                  <c:v>20</c:v>
                </c:pt>
                <c:pt idx="12">
                  <c:v>26</c:v>
                </c:pt>
                <c:pt idx="13">
                  <c:v>37</c:v>
                </c:pt>
                <c:pt idx="14">
                  <c:v>11</c:v>
                </c:pt>
                <c:pt idx="15">
                  <c:v>34</c:v>
                </c:pt>
                <c:pt idx="16">
                  <c:v>73</c:v>
                </c:pt>
                <c:pt idx="17">
                  <c:v>26</c:v>
                </c:pt>
                <c:pt idx="18">
                  <c:v>15</c:v>
                </c:pt>
                <c:pt idx="19">
                  <c:v>24</c:v>
                </c:pt>
                <c:pt idx="20">
                  <c:v>18</c:v>
                </c:pt>
                <c:pt idx="21">
                  <c:v>41</c:v>
                </c:pt>
                <c:pt idx="22">
                  <c:v>84</c:v>
                </c:pt>
                <c:pt idx="23">
                  <c:v>15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C-489D-AED2-39A8AF051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47841"/>
        <c:axId val="66749507"/>
      </c:barChart>
      <c:dateAx>
        <c:axId val="58147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749507"/>
        <c:crosses val="autoZero"/>
        <c:auto val="1"/>
        <c:lblOffset val="100"/>
        <c:baseTimeUnit val="months"/>
      </c:dateAx>
      <c:valAx>
        <c:axId val="66749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Canceled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478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Categories by Total Order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category_performance!B5</c:f>
              <c:strCache>
                <c:ptCount val="1"/>
                <c:pt idx="0">
                  <c:v>Total Order Value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category_performance!$A$6:$A$15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category_performance!$B$6:$B$15</c:f>
              <c:numCache>
                <c:formatCode>\$#,##0.00;"($"#,##0.00\);\-</c:formatCode>
                <c:ptCount val="10"/>
                <c:pt idx="0">
                  <c:v>1412089.53</c:v>
                </c:pt>
                <c:pt idx="1">
                  <c:v>1264333.1200000001</c:v>
                </c:pt>
                <c:pt idx="2">
                  <c:v>1225209.26</c:v>
                </c:pt>
                <c:pt idx="3">
                  <c:v>1118256.9099999999</c:v>
                </c:pt>
                <c:pt idx="4">
                  <c:v>1032723.77</c:v>
                </c:pt>
                <c:pt idx="5">
                  <c:v>880329.92</c:v>
                </c:pt>
                <c:pt idx="6">
                  <c:v>758392.25</c:v>
                </c:pt>
                <c:pt idx="7">
                  <c:v>691680.89</c:v>
                </c:pt>
                <c:pt idx="8">
                  <c:v>669454.75</c:v>
                </c:pt>
                <c:pt idx="9">
                  <c:v>567145.68000000005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5-4AD7-B6DA-ADCA60D84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702615"/>
        <c:axId val="22016829"/>
      </c:barChart>
      <c:catAx>
        <c:axId val="747026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16829"/>
        <c:crosses val="autoZero"/>
        <c:auto val="1"/>
        <c:lblAlgn val="ctr"/>
        <c:lblOffset val="100"/>
        <c:noMultiLvlLbl val="0"/>
      </c:catAx>
      <c:valAx>
        <c:axId val="220168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Order Value ($)</a:t>
                </a:r>
              </a:p>
            </c:rich>
          </c:tx>
          <c:overlay val="0"/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026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Late Delivery Rate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delivery_performance!I5</c:f>
              <c:strCache>
                <c:ptCount val="1"/>
                <c:pt idx="0">
                  <c:v>Late Rate</c:v>
                </c:pt>
              </c:strCache>
            </c:strRef>
          </c:tx>
          <c:spPr>
            <a:ln w="248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delivery_performance!$A$6:$A$28</c:f>
              <c:numCache>
                <c:formatCode>mmm\ yyyy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delivery_performance!$I$6:$I$28</c:f>
              <c:numCache>
                <c:formatCode>0.0%;\(0.0%\);\-</c:formatCode>
                <c:ptCount val="23"/>
                <c:pt idx="0">
                  <c:v>1</c:v>
                </c:pt>
                <c:pt idx="1">
                  <c:v>7.4999999999999997E-3</c:v>
                </c:pt>
                <c:pt idx="2">
                  <c:v>0</c:v>
                </c:pt>
                <c:pt idx="3">
                  <c:v>2.9300000000000003E-2</c:v>
                </c:pt>
                <c:pt idx="4">
                  <c:v>2.9600000000000001E-2</c:v>
                </c:pt>
                <c:pt idx="5">
                  <c:v>4.5599999999999995E-2</c:v>
                </c:pt>
                <c:pt idx="6">
                  <c:v>6.5599999999999992E-2</c:v>
                </c:pt>
                <c:pt idx="7">
                  <c:v>2.9900000000000003E-2</c:v>
                </c:pt>
                <c:pt idx="8">
                  <c:v>3.0299999999999997E-2</c:v>
                </c:pt>
                <c:pt idx="9">
                  <c:v>2.7900000000000001E-2</c:v>
                </c:pt>
                <c:pt idx="10">
                  <c:v>2.9100000000000001E-2</c:v>
                </c:pt>
                <c:pt idx="11">
                  <c:v>4.3899999999999995E-2</c:v>
                </c:pt>
                <c:pt idx="12">
                  <c:v>4.1799999999999997E-2</c:v>
                </c:pt>
                <c:pt idx="13">
                  <c:v>0.124</c:v>
                </c:pt>
                <c:pt idx="14">
                  <c:v>7.46E-2</c:v>
                </c:pt>
                <c:pt idx="15">
                  <c:v>5.7000000000000002E-2</c:v>
                </c:pt>
                <c:pt idx="16">
                  <c:v>0.14130000000000001</c:v>
                </c:pt>
                <c:pt idx="17">
                  <c:v>0.18960000000000002</c:v>
                </c:pt>
                <c:pt idx="18">
                  <c:v>4.4999999999999998E-2</c:v>
                </c:pt>
                <c:pt idx="19">
                  <c:v>6.5599999999999992E-2</c:v>
                </c:pt>
                <c:pt idx="20">
                  <c:v>1.1599999999999999E-2</c:v>
                </c:pt>
                <c:pt idx="21">
                  <c:v>3.3799999999999997E-2</c:v>
                </c:pt>
                <c:pt idx="22">
                  <c:v>6.1900000000000004E-2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1-465C-9805-9E61B2429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1513564"/>
        <c:axId val="11562736"/>
      </c:lineChart>
      <c:dateAx>
        <c:axId val="715135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562736"/>
        <c:crosses val="autoZero"/>
        <c:auto val="1"/>
        <c:lblOffset val="100"/>
        <c:baseTimeUnit val="months"/>
      </c:dateAx>
      <c:valAx>
        <c:axId val="11562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Late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135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Early / On-Time / Late Orders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delivery_performance!D5</c:f>
              <c:strCache>
                <c:ptCount val="1"/>
                <c:pt idx="0">
                  <c:v>Early Orders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delivery_performance!$A$6:$A$28</c:f>
              <c:numCache>
                <c:formatCode>mmm\ yyyy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delivery_performance!$D$6:$D$28</c:f>
              <c:numCache>
                <c:formatCode>#,##0;\(#,##0\);\-</c:formatCode>
                <c:ptCount val="23"/>
                <c:pt idx="0">
                  <c:v>0</c:v>
                </c:pt>
                <c:pt idx="1">
                  <c:v>262</c:v>
                </c:pt>
                <c:pt idx="2">
                  <c:v>1</c:v>
                </c:pt>
                <c:pt idx="3">
                  <c:v>727</c:v>
                </c:pt>
                <c:pt idx="4">
                  <c:v>1600</c:v>
                </c:pt>
                <c:pt idx="5">
                  <c:v>2404</c:v>
                </c:pt>
                <c:pt idx="6">
                  <c:v>2122</c:v>
                </c:pt>
                <c:pt idx="7">
                  <c:v>3417</c:v>
                </c:pt>
                <c:pt idx="8">
                  <c:v>3014</c:v>
                </c:pt>
                <c:pt idx="9">
                  <c:v>3739</c:v>
                </c:pt>
                <c:pt idx="10">
                  <c:v>4054</c:v>
                </c:pt>
                <c:pt idx="11">
                  <c:v>3934</c:v>
                </c:pt>
                <c:pt idx="12">
                  <c:v>4241</c:v>
                </c:pt>
                <c:pt idx="13">
                  <c:v>6245</c:v>
                </c:pt>
                <c:pt idx="14">
                  <c:v>5051</c:v>
                </c:pt>
                <c:pt idx="15">
                  <c:v>6605</c:v>
                </c:pt>
                <c:pt idx="16">
                  <c:v>5507</c:v>
                </c:pt>
                <c:pt idx="17">
                  <c:v>5507</c:v>
                </c:pt>
                <c:pt idx="18">
                  <c:v>6437</c:v>
                </c:pt>
                <c:pt idx="19">
                  <c:v>6193</c:v>
                </c:pt>
                <c:pt idx="20">
                  <c:v>6013</c:v>
                </c:pt>
                <c:pt idx="21">
                  <c:v>5880</c:v>
                </c:pt>
                <c:pt idx="22">
                  <c:v>5691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4-45A7-BD80-D27F5A3057A4}"/>
            </c:ext>
          </c:extLst>
        </c:ser>
        <c:ser>
          <c:idx val="1"/>
          <c:order val="1"/>
          <c:tx>
            <c:strRef>
              <c:f>delivery_performance!E5</c:f>
              <c:strCache>
                <c:ptCount val="1"/>
                <c:pt idx="0">
                  <c:v>On-Time Orders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delivery_performance!$A$6:$A$28</c:f>
              <c:numCache>
                <c:formatCode>mmm\ yyyy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delivery_performance!$E$6:$E$28</c:f>
              <c:numCache>
                <c:formatCode>#,##0;\(#,##0\);\-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26</c:v>
                </c:pt>
                <c:pt idx="6">
                  <c:v>30</c:v>
                </c:pt>
                <c:pt idx="7">
                  <c:v>22</c:v>
                </c:pt>
                <c:pt idx="8">
                  <c:v>26</c:v>
                </c:pt>
                <c:pt idx="9">
                  <c:v>25</c:v>
                </c:pt>
                <c:pt idx="10">
                  <c:v>17</c:v>
                </c:pt>
                <c:pt idx="11">
                  <c:v>34</c:v>
                </c:pt>
                <c:pt idx="12">
                  <c:v>50</c:v>
                </c:pt>
                <c:pt idx="13">
                  <c:v>139</c:v>
                </c:pt>
                <c:pt idx="14">
                  <c:v>51</c:v>
                </c:pt>
                <c:pt idx="15">
                  <c:v>61</c:v>
                </c:pt>
                <c:pt idx="16">
                  <c:v>122</c:v>
                </c:pt>
                <c:pt idx="17">
                  <c:v>168</c:v>
                </c:pt>
                <c:pt idx="18">
                  <c:v>55</c:v>
                </c:pt>
                <c:pt idx="19">
                  <c:v>113</c:v>
                </c:pt>
                <c:pt idx="20">
                  <c:v>12</c:v>
                </c:pt>
                <c:pt idx="21">
                  <c:v>68</c:v>
                </c:pt>
                <c:pt idx="22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4-45A7-BD80-D27F5A3057A4}"/>
            </c:ext>
          </c:extLst>
        </c:ser>
        <c:ser>
          <c:idx val="2"/>
          <c:order val="2"/>
          <c:tx>
            <c:strRef>
              <c:f>delivery_performance!F5</c:f>
              <c:strCache>
                <c:ptCount val="1"/>
                <c:pt idx="0">
                  <c:v>Late Orders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delivery_performance!$A$6:$A$28</c:f>
              <c:numCache>
                <c:formatCode>mmm\ yyyy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</c:numCache>
            </c:numRef>
          </c:cat>
          <c:val>
            <c:numRef>
              <c:f>delivery_performance!$F$6:$F$28</c:f>
              <c:numCache>
                <c:formatCode>#,##0;\(#,##0\);\-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22</c:v>
                </c:pt>
                <c:pt idx="4">
                  <c:v>49</c:v>
                </c:pt>
                <c:pt idx="5">
                  <c:v>116</c:v>
                </c:pt>
                <c:pt idx="6">
                  <c:v>151</c:v>
                </c:pt>
                <c:pt idx="7">
                  <c:v>106</c:v>
                </c:pt>
                <c:pt idx="8">
                  <c:v>95</c:v>
                </c:pt>
                <c:pt idx="9">
                  <c:v>108</c:v>
                </c:pt>
                <c:pt idx="10">
                  <c:v>122</c:v>
                </c:pt>
                <c:pt idx="11">
                  <c:v>182</c:v>
                </c:pt>
                <c:pt idx="12">
                  <c:v>187</c:v>
                </c:pt>
                <c:pt idx="13">
                  <c:v>904</c:v>
                </c:pt>
                <c:pt idx="14">
                  <c:v>411</c:v>
                </c:pt>
                <c:pt idx="15">
                  <c:v>403</c:v>
                </c:pt>
                <c:pt idx="16">
                  <c:v>926</c:v>
                </c:pt>
                <c:pt idx="17">
                  <c:v>1328</c:v>
                </c:pt>
                <c:pt idx="18">
                  <c:v>306</c:v>
                </c:pt>
                <c:pt idx="19">
                  <c:v>443</c:v>
                </c:pt>
                <c:pt idx="20">
                  <c:v>71</c:v>
                </c:pt>
                <c:pt idx="21">
                  <c:v>208</c:v>
                </c:pt>
                <c:pt idx="22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4-45A7-BD80-D27F5A305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242061"/>
        <c:axId val="97016349"/>
      </c:barChart>
      <c:dateAx>
        <c:axId val="77242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016349"/>
        <c:crosses val="autoZero"/>
        <c:auto val="1"/>
        <c:lblOffset val="100"/>
        <c:baseTimeUnit val="months"/>
      </c:dateAx>
      <c:valAx>
        <c:axId val="97016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420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Repeat Customer Rate by Cohort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customer_seller!G5</c:f>
              <c:strCache>
                <c:ptCount val="1"/>
                <c:pt idx="0">
                  <c:v>Repeat Customer Rate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customer_seller!$A$6:$A$28</c:f>
              <c:strCache>
                <c:ptCount val="23"/>
                <c:pt idx="0">
                  <c:v>2016-09-01</c:v>
                </c:pt>
                <c:pt idx="1">
                  <c:v>2016-10-01</c:v>
                </c:pt>
                <c:pt idx="2">
                  <c:v>2016-12-01</c:v>
                </c:pt>
                <c:pt idx="3">
                  <c:v>2017-01-01</c:v>
                </c:pt>
                <c:pt idx="4">
                  <c:v>2017-02-01</c:v>
                </c:pt>
                <c:pt idx="5">
                  <c:v>2017-03-01</c:v>
                </c:pt>
                <c:pt idx="6">
                  <c:v>2017-04-01</c:v>
                </c:pt>
                <c:pt idx="7">
                  <c:v>2017-05-01</c:v>
                </c:pt>
                <c:pt idx="8">
                  <c:v>2017-06-01</c:v>
                </c:pt>
                <c:pt idx="9">
                  <c:v>2017-07-01</c:v>
                </c:pt>
                <c:pt idx="10">
                  <c:v>2017-08-01</c:v>
                </c:pt>
                <c:pt idx="11">
                  <c:v>2017-09-01</c:v>
                </c:pt>
                <c:pt idx="12">
                  <c:v>2017-10-01</c:v>
                </c:pt>
                <c:pt idx="13">
                  <c:v>2017-11-01</c:v>
                </c:pt>
                <c:pt idx="14">
                  <c:v>2017-12-01</c:v>
                </c:pt>
                <c:pt idx="15">
                  <c:v>2018-01-01</c:v>
                </c:pt>
                <c:pt idx="16">
                  <c:v>2018-02-01</c:v>
                </c:pt>
                <c:pt idx="17">
                  <c:v>2018-03-01</c:v>
                </c:pt>
                <c:pt idx="18">
                  <c:v>2018-04-01</c:v>
                </c:pt>
                <c:pt idx="19">
                  <c:v>2018-05-01</c:v>
                </c:pt>
                <c:pt idx="20">
                  <c:v>2018-06-01</c:v>
                </c:pt>
                <c:pt idx="21">
                  <c:v>2018-07-01</c:v>
                </c:pt>
                <c:pt idx="22">
                  <c:v>2018-08-01</c:v>
                </c:pt>
              </c:strCache>
            </c:strRef>
          </c:cat>
          <c:val>
            <c:numRef>
              <c:f>customer_seller!$G$6:$G$28</c:f>
              <c:numCache>
                <c:formatCode>0.0%;\(0.0%\);\-</c:formatCode>
                <c:ptCount val="23"/>
                <c:pt idx="0">
                  <c:v>0</c:v>
                </c:pt>
                <c:pt idx="1">
                  <c:v>4.58E-2</c:v>
                </c:pt>
                <c:pt idx="2">
                  <c:v>1</c:v>
                </c:pt>
                <c:pt idx="3">
                  <c:v>7.2499999999999995E-2</c:v>
                </c:pt>
                <c:pt idx="4">
                  <c:v>4.0500000000000001E-2</c:v>
                </c:pt>
                <c:pt idx="5">
                  <c:v>4.8300000000000003E-2</c:v>
                </c:pt>
                <c:pt idx="6">
                  <c:v>4.5199999999999997E-2</c:v>
                </c:pt>
                <c:pt idx="7">
                  <c:v>5.2699999999999997E-2</c:v>
                </c:pt>
                <c:pt idx="8">
                  <c:v>5.2999999999999999E-2</c:v>
                </c:pt>
                <c:pt idx="9">
                  <c:v>4.6600000000000003E-2</c:v>
                </c:pt>
                <c:pt idx="10">
                  <c:v>4.7100000000000003E-2</c:v>
                </c:pt>
                <c:pt idx="11">
                  <c:v>4.4999999999999998E-2</c:v>
                </c:pt>
                <c:pt idx="12">
                  <c:v>3.7000000000000005E-2</c:v>
                </c:pt>
                <c:pt idx="13">
                  <c:v>3.1600000000000003E-2</c:v>
                </c:pt>
                <c:pt idx="14">
                  <c:v>2.6000000000000002E-2</c:v>
                </c:pt>
                <c:pt idx="15">
                  <c:v>3.04E-2</c:v>
                </c:pt>
                <c:pt idx="16">
                  <c:v>3.7499999999999999E-2</c:v>
                </c:pt>
                <c:pt idx="17">
                  <c:v>2.3900000000000001E-2</c:v>
                </c:pt>
                <c:pt idx="18">
                  <c:v>1.9599999999999999E-2</c:v>
                </c:pt>
                <c:pt idx="19">
                  <c:v>1.6799999999999999E-2</c:v>
                </c:pt>
                <c:pt idx="20">
                  <c:v>1.1899999999999999E-2</c:v>
                </c:pt>
                <c:pt idx="21">
                  <c:v>1.4800000000000001E-2</c:v>
                </c:pt>
                <c:pt idx="22">
                  <c:v>5.5000000000000005E-3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0-4EEC-A41B-7029C651F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0576518"/>
        <c:axId val="61923617"/>
      </c:lineChart>
      <c:catAx>
        <c:axId val="905765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Cohort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923617"/>
        <c:crosses val="autoZero"/>
        <c:auto val="1"/>
        <c:lblAlgn val="ctr"/>
        <c:lblOffset val="100"/>
        <c:noMultiLvlLbl val="0"/>
      </c:catAx>
      <c:valAx>
        <c:axId val="619236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Repeat Customer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576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15 Sellers by Delivered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customer_seller!D31</c:f>
              <c:strCache>
                <c:ptCount val="1"/>
                <c:pt idx="0">
                  <c:v>Total Seller Revenue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customer_seller!$A$32:$A$46</c:f>
              <c:strCache>
                <c:ptCount val="15"/>
                <c:pt idx="0">
                  <c:v>Seller 1</c:v>
                </c:pt>
                <c:pt idx="1">
                  <c:v>Seller 2</c:v>
                </c:pt>
                <c:pt idx="2">
                  <c:v>Seller 3</c:v>
                </c:pt>
                <c:pt idx="3">
                  <c:v>Seller 4</c:v>
                </c:pt>
                <c:pt idx="4">
                  <c:v>Seller 5</c:v>
                </c:pt>
                <c:pt idx="5">
                  <c:v>Seller 6</c:v>
                </c:pt>
                <c:pt idx="6">
                  <c:v>Seller 7</c:v>
                </c:pt>
                <c:pt idx="7">
                  <c:v>Seller 8</c:v>
                </c:pt>
                <c:pt idx="8">
                  <c:v>Seller 9</c:v>
                </c:pt>
                <c:pt idx="9">
                  <c:v>Seller 10</c:v>
                </c:pt>
                <c:pt idx="10">
                  <c:v>Seller 11</c:v>
                </c:pt>
                <c:pt idx="11">
                  <c:v>Seller 12</c:v>
                </c:pt>
                <c:pt idx="12">
                  <c:v>Seller 13</c:v>
                </c:pt>
                <c:pt idx="13">
                  <c:v>Seller 14</c:v>
                </c:pt>
                <c:pt idx="14">
                  <c:v>Seller 15</c:v>
                </c:pt>
              </c:strCache>
            </c:strRef>
          </c:cat>
          <c:val>
            <c:numRef>
              <c:f>customer_seller!$D$32:$D$46</c:f>
              <c:numCache>
                <c:formatCode>\$#,##0.00;"($"#,##0.00\);\-</c:formatCode>
                <c:ptCount val="15"/>
                <c:pt idx="0">
                  <c:v>247007.06</c:v>
                </c:pt>
                <c:pt idx="1">
                  <c:v>237806.69</c:v>
                </c:pt>
                <c:pt idx="2">
                  <c:v>231220.43</c:v>
                </c:pt>
                <c:pt idx="3">
                  <c:v>230797.02</c:v>
                </c:pt>
                <c:pt idx="4">
                  <c:v>200833.5</c:v>
                </c:pt>
                <c:pt idx="5">
                  <c:v>184706.78</c:v>
                </c:pt>
                <c:pt idx="6">
                  <c:v>171973.55</c:v>
                </c:pt>
                <c:pt idx="7">
                  <c:v>171924.96</c:v>
                </c:pt>
                <c:pt idx="8">
                  <c:v>160278.51999999999</c:v>
                </c:pt>
                <c:pt idx="9">
                  <c:v>156606.48000000001</c:v>
                </c:pt>
                <c:pt idx="10">
                  <c:v>148050.94</c:v>
                </c:pt>
                <c:pt idx="11">
                  <c:v>141712.94</c:v>
                </c:pt>
                <c:pt idx="12">
                  <c:v>134162.88</c:v>
                </c:pt>
                <c:pt idx="13">
                  <c:v>130412.74</c:v>
                </c:pt>
                <c:pt idx="14">
                  <c:v>126278.18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6-4D20-9167-4FA840F5D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54663"/>
        <c:axId val="3582301"/>
      </c:barChart>
      <c:catAx>
        <c:axId val="1435466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Seller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2301"/>
        <c:crosses val="autoZero"/>
        <c:auto val="1"/>
        <c:lblAlgn val="ctr"/>
        <c:lblOffset val="100"/>
        <c:noMultiLvlLbl val="0"/>
      </c:catAx>
      <c:valAx>
        <c:axId val="358230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3546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Average Review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review_analysis!C5</c:f>
              <c:strCache>
                <c:ptCount val="1"/>
                <c:pt idx="0">
                  <c:v>Avg Review Score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review_analysis!$A$6:$A$28</c:f>
              <c:strCache>
                <c:ptCount val="23"/>
                <c:pt idx="0">
                  <c:v>2016-09-01</c:v>
                </c:pt>
                <c:pt idx="1">
                  <c:v>2016-10-01</c:v>
                </c:pt>
                <c:pt idx="2">
                  <c:v>2016-12-01</c:v>
                </c:pt>
                <c:pt idx="3">
                  <c:v>2017-01-01</c:v>
                </c:pt>
                <c:pt idx="4">
                  <c:v>2017-02-01</c:v>
                </c:pt>
                <c:pt idx="5">
                  <c:v>2017-03-01</c:v>
                </c:pt>
                <c:pt idx="6">
                  <c:v>2017-04-01</c:v>
                </c:pt>
                <c:pt idx="7">
                  <c:v>2017-05-01</c:v>
                </c:pt>
                <c:pt idx="8">
                  <c:v>2017-06-01</c:v>
                </c:pt>
                <c:pt idx="9">
                  <c:v>2017-07-01</c:v>
                </c:pt>
                <c:pt idx="10">
                  <c:v>2017-08-01</c:v>
                </c:pt>
                <c:pt idx="11">
                  <c:v>2017-09-01</c:v>
                </c:pt>
                <c:pt idx="12">
                  <c:v>2017-10-01</c:v>
                </c:pt>
                <c:pt idx="13">
                  <c:v>2017-11-01</c:v>
                </c:pt>
                <c:pt idx="14">
                  <c:v>2017-12-01</c:v>
                </c:pt>
                <c:pt idx="15">
                  <c:v>2018-01-01</c:v>
                </c:pt>
                <c:pt idx="16">
                  <c:v>2018-02-01</c:v>
                </c:pt>
                <c:pt idx="17">
                  <c:v>2018-03-01</c:v>
                </c:pt>
                <c:pt idx="18">
                  <c:v>2018-04-01</c:v>
                </c:pt>
                <c:pt idx="19">
                  <c:v>2018-05-01</c:v>
                </c:pt>
                <c:pt idx="20">
                  <c:v>2018-06-01</c:v>
                </c:pt>
                <c:pt idx="21">
                  <c:v>2018-07-01</c:v>
                </c:pt>
                <c:pt idx="22">
                  <c:v>2018-08-01</c:v>
                </c:pt>
              </c:strCache>
            </c:strRef>
          </c:cat>
          <c:val>
            <c:numRef>
              <c:f>review_analysis!$C$6:$C$28</c:f>
              <c:numCache>
                <c:formatCode>0.00</c:formatCode>
                <c:ptCount val="23"/>
                <c:pt idx="0">
                  <c:v>1</c:v>
                </c:pt>
                <c:pt idx="1">
                  <c:v>4.01</c:v>
                </c:pt>
                <c:pt idx="2">
                  <c:v>5</c:v>
                </c:pt>
                <c:pt idx="3">
                  <c:v>4.2</c:v>
                </c:pt>
                <c:pt idx="4">
                  <c:v>4.2</c:v>
                </c:pt>
                <c:pt idx="5">
                  <c:v>4.1900000000000004</c:v>
                </c:pt>
                <c:pt idx="6">
                  <c:v>4.1399999999999997</c:v>
                </c:pt>
                <c:pt idx="7">
                  <c:v>4.24</c:v>
                </c:pt>
                <c:pt idx="8">
                  <c:v>4.22</c:v>
                </c:pt>
                <c:pt idx="9">
                  <c:v>4.26</c:v>
                </c:pt>
                <c:pt idx="10">
                  <c:v>4.3099999999999996</c:v>
                </c:pt>
                <c:pt idx="11">
                  <c:v>4.2699999999999996</c:v>
                </c:pt>
                <c:pt idx="12">
                  <c:v>4.21</c:v>
                </c:pt>
                <c:pt idx="13">
                  <c:v>3.99</c:v>
                </c:pt>
                <c:pt idx="14">
                  <c:v>4.09</c:v>
                </c:pt>
                <c:pt idx="15">
                  <c:v>4.1100000000000003</c:v>
                </c:pt>
                <c:pt idx="16">
                  <c:v>3.88</c:v>
                </c:pt>
                <c:pt idx="17">
                  <c:v>3.81</c:v>
                </c:pt>
                <c:pt idx="18">
                  <c:v>4.21</c:v>
                </c:pt>
                <c:pt idx="19">
                  <c:v>4.24</c:v>
                </c:pt>
                <c:pt idx="20">
                  <c:v>4.3099999999999996</c:v>
                </c:pt>
                <c:pt idx="21">
                  <c:v>4.32</c:v>
                </c:pt>
                <c:pt idx="22">
                  <c:v>4.3099999999999996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C0-49D5-B0CB-061EE0491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595295"/>
        <c:axId val="2568798"/>
      </c:lineChart>
      <c:catAx>
        <c:axId val="245952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68798"/>
        <c:crosses val="autoZero"/>
        <c:auto val="1"/>
        <c:lblAlgn val="ctr"/>
        <c:lblOffset val="100"/>
        <c:noMultiLvlLbl val="0"/>
      </c:catAx>
      <c:valAx>
        <c:axId val="2568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Review Score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5952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Review Score: Early vs. On-Time vs. Late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review_analysis!C31</c:f>
              <c:strCache>
                <c:ptCount val="1"/>
                <c:pt idx="0">
                  <c:v>Avg Review Score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51A-484F-B9D3-16868C8F864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51A-484F-B9D3-16868C8F864D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51A-484F-B9D3-16868C8F864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51A-484F-B9D3-16868C8F864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51A-484F-B9D3-16868C8F864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51A-484F-B9D3-16868C8F86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review_analysis!$A$32:$A$34</c:f>
              <c:strCache>
                <c:ptCount val="3"/>
                <c:pt idx="0">
                  <c:v>Early</c:v>
                </c:pt>
                <c:pt idx="1">
                  <c:v>On Time</c:v>
                </c:pt>
                <c:pt idx="2">
                  <c:v>Late</c:v>
                </c:pt>
              </c:strCache>
            </c:strRef>
          </c:cat>
          <c:val>
            <c:numRef>
              <c:f>review_analysis!$C$32:$C$34</c:f>
              <c:numCache>
                <c:formatCode>0.00</c:formatCode>
                <c:ptCount val="3"/>
                <c:pt idx="0">
                  <c:v>4.29</c:v>
                </c:pt>
                <c:pt idx="1">
                  <c:v>4.04</c:v>
                </c:pt>
                <c:pt idx="2">
                  <c:v>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1A-484F-B9D3-16868C8F8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803502"/>
        <c:axId val="14406190"/>
      </c:barChart>
      <c:catAx>
        <c:axId val="818035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406190"/>
        <c:crosses val="autoZero"/>
        <c:auto val="1"/>
        <c:lblAlgn val="ctr"/>
        <c:lblOffset val="100"/>
        <c:noMultiLvlLbl val="0"/>
      </c:catAx>
      <c:valAx>
        <c:axId val="14406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Review Score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8035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131040</xdr:rowOff>
    </xdr:from>
    <xdr:to>
      <xdr:col>18</xdr:col>
      <xdr:colOff>473040</xdr:colOff>
      <xdr:row>19</xdr:row>
      <xdr:rowOff>10800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9720</xdr:rowOff>
    </xdr:from>
    <xdr:to>
      <xdr:col>18</xdr:col>
      <xdr:colOff>473040</xdr:colOff>
      <xdr:row>38</xdr:row>
      <xdr:rowOff>10800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133350</xdr:rowOff>
    </xdr:from>
    <xdr:to>
      <xdr:col>21</xdr:col>
      <xdr:colOff>19050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131040</xdr:rowOff>
    </xdr:from>
    <xdr:to>
      <xdr:col>21</xdr:col>
      <xdr:colOff>473040</xdr:colOff>
      <xdr:row>19</xdr:row>
      <xdr:rowOff>160560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22</xdr:row>
      <xdr:rowOff>131040</xdr:rowOff>
    </xdr:from>
    <xdr:to>
      <xdr:col>21</xdr:col>
      <xdr:colOff>473040</xdr:colOff>
      <xdr:row>39</xdr:row>
      <xdr:rowOff>132120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161925</xdr:rowOff>
    </xdr:from>
    <xdr:to>
      <xdr:col>17</xdr:col>
      <xdr:colOff>209550</xdr:colOff>
      <xdr:row>22</xdr:row>
      <xdr:rowOff>161925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29</xdr:row>
      <xdr:rowOff>161925</xdr:rowOff>
    </xdr:from>
    <xdr:to>
      <xdr:col>17</xdr:col>
      <xdr:colOff>219075</xdr:colOff>
      <xdr:row>51</xdr:row>
      <xdr:rowOff>114300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  <a:ext uri="{147F2762-F138-4A5C-976F-8EAC2B608ADB}">
              <a16:predDERef xmlns:a16="http://schemas.microsoft.com/office/drawing/2014/main" pre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133350</xdr:rowOff>
    </xdr:from>
    <xdr:to>
      <xdr:col>18</xdr:col>
      <xdr:colOff>276225</xdr:colOff>
      <xdr:row>19</xdr:row>
      <xdr:rowOff>161925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22</xdr:row>
      <xdr:rowOff>133350</xdr:rowOff>
    </xdr:from>
    <xdr:to>
      <xdr:col>18</xdr:col>
      <xdr:colOff>295275</xdr:colOff>
      <xdr:row>37</xdr:row>
      <xdr:rowOff>9525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500-000008000000}"/>
            </a:ext>
            <a:ext uri="{147F2762-F138-4A5C-976F-8EAC2B608ADB}">
              <a16:predDERef xmlns:a16="http://schemas.microsoft.com/office/drawing/2014/main" pre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4"/>
  <sheetViews>
    <sheetView showGridLines="0" topLeftCell="A34" zoomScaleNormal="100" workbookViewId="0"/>
  </sheetViews>
  <sheetFormatPr defaultColWidth="8.7109375" defaultRowHeight="15"/>
  <cols>
    <col min="1" max="1" width="3" customWidth="1"/>
    <col min="2" max="2" width="26" customWidth="1"/>
    <col min="3" max="3" width="27.140625" customWidth="1"/>
    <col min="4" max="6" width="24" customWidth="1"/>
    <col min="7" max="7" width="20" customWidth="1"/>
    <col min="8" max="8" width="4" customWidth="1"/>
  </cols>
  <sheetData>
    <row r="2" spans="2:7" ht="24.4">
      <c r="B2" s="1" t="s">
        <v>0</v>
      </c>
    </row>
    <row r="3" spans="2:7">
      <c r="B3" s="52" t="s">
        <v>1</v>
      </c>
      <c r="C3" s="52"/>
      <c r="D3" s="52"/>
      <c r="E3" s="52"/>
      <c r="F3" s="52"/>
      <c r="G3" s="52"/>
    </row>
    <row r="5" spans="2:7" ht="16.149999999999999">
      <c r="B5" s="53" t="s">
        <v>2</v>
      </c>
      <c r="C5" s="53"/>
      <c r="D5" s="53"/>
      <c r="E5" s="53"/>
      <c r="F5" s="53"/>
      <c r="G5" s="53"/>
    </row>
    <row r="7" spans="2:7" ht="27.75" customHeight="1">
      <c r="B7" s="4" t="s">
        <v>3</v>
      </c>
      <c r="C7" s="4" t="s">
        <v>4</v>
      </c>
      <c r="D7" s="4" t="s">
        <v>5</v>
      </c>
      <c r="E7" s="4" t="s">
        <v>6</v>
      </c>
    </row>
    <row r="8" spans="2:7" ht="27.75" customHeight="1">
      <c r="B8" s="5" t="s">
        <v>7</v>
      </c>
      <c r="C8" s="6" t="s">
        <v>8</v>
      </c>
      <c r="D8" s="7" t="s">
        <v>9</v>
      </c>
      <c r="E8" s="8" t="s">
        <v>10</v>
      </c>
    </row>
    <row r="9" spans="2:7" ht="27.75" customHeight="1">
      <c r="B9" s="5" t="s">
        <v>11</v>
      </c>
      <c r="C9" s="6" t="s">
        <v>12</v>
      </c>
      <c r="D9" s="7" t="s">
        <v>13</v>
      </c>
      <c r="E9" s="8" t="s">
        <v>10</v>
      </c>
    </row>
    <row r="10" spans="2:7" ht="27.75" customHeight="1">
      <c r="B10" s="5" t="s">
        <v>14</v>
      </c>
      <c r="C10" s="6" t="s">
        <v>15</v>
      </c>
      <c r="D10" s="7" t="s">
        <v>16</v>
      </c>
      <c r="E10" s="8" t="s">
        <v>10</v>
      </c>
    </row>
    <row r="11" spans="2:7" ht="27.75" customHeight="1">
      <c r="B11" s="5" t="s">
        <v>17</v>
      </c>
      <c r="C11" s="6" t="s">
        <v>18</v>
      </c>
      <c r="D11" s="7" t="s">
        <v>19</v>
      </c>
      <c r="E11" s="8" t="s">
        <v>10</v>
      </c>
    </row>
    <row r="12" spans="2:7" ht="27.75" customHeight="1">
      <c r="B12" s="5" t="s">
        <v>20</v>
      </c>
      <c r="C12" s="6" t="s">
        <v>21</v>
      </c>
      <c r="D12" s="7" t="s">
        <v>22</v>
      </c>
      <c r="E12" s="8" t="s">
        <v>10</v>
      </c>
    </row>
    <row r="14" spans="2:7" ht="30" customHeight="1">
      <c r="B14" s="54" t="s">
        <v>23</v>
      </c>
      <c r="C14" s="54"/>
      <c r="D14" s="54"/>
      <c r="E14" s="54"/>
      <c r="F14" s="54"/>
      <c r="G14" s="54"/>
    </row>
    <row r="16" spans="2:7" ht="16.149999999999999">
      <c r="B16" s="53" t="s">
        <v>24</v>
      </c>
      <c r="C16" s="53"/>
      <c r="D16" s="53"/>
      <c r="E16" s="53"/>
      <c r="F16" s="53"/>
      <c r="G16" s="53"/>
    </row>
    <row r="17" spans="2:7" ht="27.75" customHeight="1">
      <c r="B17" s="10" t="s">
        <v>25</v>
      </c>
      <c r="C17" s="10" t="s">
        <v>26</v>
      </c>
      <c r="D17" s="10" t="s">
        <v>27</v>
      </c>
      <c r="E17" s="10" t="s">
        <v>28</v>
      </c>
    </row>
    <row r="18" spans="2:7" ht="16.149999999999999">
      <c r="B18" s="11">
        <f>SUM(monthly_sales!B6:B30)</f>
        <v>15419773.749999998</v>
      </c>
      <c r="C18" s="12">
        <f>SUM(monthly_sales!C6:C30)</f>
        <v>96478</v>
      </c>
      <c r="D18" s="12">
        <f>SUM(monthly_sales!D6:D30)</f>
        <v>625</v>
      </c>
      <c r="E18" s="11">
        <f>AVERAGE(monthly_sales!E6:E30)</f>
        <v>142.04319999999998</v>
      </c>
    </row>
    <row r="20" spans="2:7" ht="16.149999999999999">
      <c r="B20" s="53" t="s">
        <v>29</v>
      </c>
      <c r="C20" s="53"/>
      <c r="D20" s="53"/>
      <c r="E20" s="53"/>
      <c r="F20" s="53"/>
      <c r="G20" s="53"/>
    </row>
    <row r="21" spans="2:7" ht="27.75" customHeight="1">
      <c r="B21" s="10" t="s">
        <v>30</v>
      </c>
      <c r="C21" s="10" t="s">
        <v>31</v>
      </c>
      <c r="D21" s="10" t="s">
        <v>32</v>
      </c>
      <c r="E21" s="10" t="s">
        <v>33</v>
      </c>
    </row>
    <row r="22" spans="2:7" ht="16.149999999999999">
      <c r="B22" s="13" t="str">
        <f>category_performance!A6</f>
        <v>health_beauty</v>
      </c>
      <c r="C22" s="11">
        <f>MAX(category_performance!B6:B79)</f>
        <v>1412089.53</v>
      </c>
      <c r="D22" s="12">
        <f>COUNTA(category_performance!A6:A79)</f>
        <v>74</v>
      </c>
      <c r="E22" s="11">
        <f>AVERAGE(category_performance!G6:G79)</f>
        <v>187.04364864864857</v>
      </c>
    </row>
    <row r="24" spans="2:7" ht="16.149999999999999">
      <c r="B24" s="53" t="s">
        <v>34</v>
      </c>
      <c r="C24" s="53"/>
      <c r="D24" s="53"/>
      <c r="E24" s="53"/>
      <c r="F24" s="53"/>
      <c r="G24" s="53"/>
    </row>
    <row r="25" spans="2:7" ht="27.75" customHeight="1">
      <c r="B25" s="10" t="s">
        <v>26</v>
      </c>
      <c r="C25" s="10" t="s">
        <v>35</v>
      </c>
      <c r="D25" s="10" t="s">
        <v>36</v>
      </c>
      <c r="E25" s="10" t="s">
        <v>37</v>
      </c>
    </row>
    <row r="26" spans="2:7" ht="16.149999999999999">
      <c r="B26" s="12">
        <f>SUM(delivery_performance!B6:B28)</f>
        <v>96470</v>
      </c>
      <c r="C26" s="14">
        <f>AVERAGE(delivery_performance!G6:G28)</f>
        <v>0.89480869565217414</v>
      </c>
      <c r="D26" s="14">
        <f>AVERAGE(delivery_performance!H6:H28)</f>
        <v>1.0200000000000001E-2</v>
      </c>
      <c r="E26" s="14">
        <f>AVERAGE(delivery_performance!I6:I28)</f>
        <v>9.499565217391305E-2</v>
      </c>
    </row>
    <row r="28" spans="2:7" ht="16.149999999999999">
      <c r="B28" s="53" t="s">
        <v>38</v>
      </c>
      <c r="C28" s="53"/>
      <c r="D28" s="53"/>
      <c r="E28" s="53"/>
      <c r="F28" s="53"/>
      <c r="G28" s="53"/>
    </row>
    <row r="29" spans="2:7" ht="27.75" customHeight="1">
      <c r="B29" s="10" t="s">
        <v>39</v>
      </c>
      <c r="C29" s="10" t="s">
        <v>40</v>
      </c>
      <c r="D29" s="10" t="s">
        <v>41</v>
      </c>
      <c r="E29" s="10" t="s">
        <v>42</v>
      </c>
    </row>
    <row r="30" spans="2:7" ht="16.149999999999999">
      <c r="B30" s="12">
        <f>SUM(customer_seller!B6:B28)</f>
        <v>93358</v>
      </c>
      <c r="C30" s="14">
        <f>customer_seller!I2</f>
        <v>3.0002784978255748E-2</v>
      </c>
      <c r="D30" s="11">
        <f>customer_seller!J2</f>
        <v>165.16821000878338</v>
      </c>
      <c r="E30" s="11">
        <f>customer_seller!K2</f>
        <v>247007.06</v>
      </c>
    </row>
    <row r="32" spans="2:7" ht="16.149999999999999">
      <c r="B32" s="53" t="s">
        <v>43</v>
      </c>
      <c r="C32" s="53"/>
      <c r="D32" s="53"/>
      <c r="E32" s="53"/>
      <c r="F32" s="53"/>
      <c r="G32" s="53"/>
    </row>
    <row r="33" spans="2:5" ht="27.75" customHeight="1">
      <c r="B33" s="10" t="s">
        <v>44</v>
      </c>
      <c r="C33" s="10" t="s">
        <v>45</v>
      </c>
      <c r="D33" s="10" t="s">
        <v>46</v>
      </c>
      <c r="E33" s="10" t="s">
        <v>47</v>
      </c>
    </row>
    <row r="34" spans="2:5" ht="16.149999999999999">
      <c r="B34" s="15">
        <f>review_analysis!C32</f>
        <v>4.29</v>
      </c>
      <c r="C34" s="15">
        <f>review_analysis!C34</f>
        <v>2.27</v>
      </c>
      <c r="D34" s="14">
        <f>review_analysis!E32</f>
        <v>9.1899999999999996E-2</v>
      </c>
      <c r="E34" s="14">
        <f>review_analysis!E34</f>
        <v>0.62360000000000004</v>
      </c>
    </row>
  </sheetData>
  <sheetProtection sheet="1" objects="1" scenarios="1"/>
  <mergeCells count="8">
    <mergeCell ref="B24:G24"/>
    <mergeCell ref="B28:G28"/>
    <mergeCell ref="B32:G32"/>
    <mergeCell ref="B3:G3"/>
    <mergeCell ref="B5:G5"/>
    <mergeCell ref="B14:G14"/>
    <mergeCell ref="B16:G16"/>
    <mergeCell ref="B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topLeftCell="A34" zoomScaleNormal="100" workbookViewId="0"/>
  </sheetViews>
  <sheetFormatPr defaultColWidth="8.7109375" defaultRowHeight="15"/>
  <cols>
    <col min="1" max="1" width="13" customWidth="1"/>
    <col min="2" max="2" width="18" customWidth="1"/>
    <col min="3" max="3" width="16" customWidth="1"/>
    <col min="5" max="5" width="18" customWidth="1"/>
    <col min="6" max="6" width="14" customWidth="1"/>
  </cols>
  <sheetData>
    <row r="1" spans="1:6" ht="19.7">
      <c r="A1" s="16" t="s">
        <v>48</v>
      </c>
    </row>
    <row r="2" spans="1:6">
      <c r="A2" s="2" t="s">
        <v>49</v>
      </c>
    </row>
    <row r="3" spans="1:6">
      <c r="A3" s="9" t="s">
        <v>50</v>
      </c>
    </row>
    <row r="5" spans="1:6" ht="39.6">
      <c r="A5" s="4" t="s">
        <v>51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</row>
    <row r="6" spans="1:6">
      <c r="A6" s="17">
        <f>raw_data_monthly_sales!A5</f>
        <v>42614</v>
      </c>
      <c r="B6" s="18">
        <f>raw_data_monthly_sales!K5</f>
        <v>143.46</v>
      </c>
      <c r="C6" s="19">
        <f>raw_data_monthly_sales!C5</f>
        <v>1</v>
      </c>
      <c r="D6" s="19">
        <f>raw_data_monthly_sales!D5</f>
        <v>2</v>
      </c>
      <c r="E6" s="18">
        <f>raw_data_monthly_sales!L5</f>
        <v>143.46</v>
      </c>
      <c r="F6" s="18">
        <f>raw_data_monthly_sales!J5</f>
        <v>8.49</v>
      </c>
    </row>
    <row r="7" spans="1:6">
      <c r="A7" s="20">
        <f>raw_data_monthly_sales!A6</f>
        <v>42644</v>
      </c>
      <c r="B7" s="21">
        <f>raw_data_monthly_sales!K6</f>
        <v>46490.66</v>
      </c>
      <c r="C7" s="22">
        <f>raw_data_monthly_sales!C6</f>
        <v>265</v>
      </c>
      <c r="D7" s="22">
        <f>raw_data_monthly_sales!D6</f>
        <v>24</v>
      </c>
      <c r="E7" s="21">
        <f>raw_data_monthly_sales!L6</f>
        <v>175.44</v>
      </c>
      <c r="F7" s="21">
        <f>raw_data_monthly_sales!J6</f>
        <v>6165.55</v>
      </c>
    </row>
    <row r="8" spans="1:6">
      <c r="A8" s="17">
        <f>raw_data_monthly_sales!A7</f>
        <v>42705</v>
      </c>
      <c r="B8" s="18">
        <f>raw_data_monthly_sales!K7</f>
        <v>19.62</v>
      </c>
      <c r="C8" s="19">
        <f>raw_data_monthly_sales!C7</f>
        <v>1</v>
      </c>
      <c r="D8" s="19">
        <f>raw_data_monthly_sales!D7</f>
        <v>0</v>
      </c>
      <c r="E8" s="18">
        <f>raw_data_monthly_sales!L7</f>
        <v>19.62</v>
      </c>
      <c r="F8" s="18">
        <f>raw_data_monthly_sales!J7</f>
        <v>8.7200000000000006</v>
      </c>
    </row>
    <row r="9" spans="1:6">
      <c r="A9" s="20">
        <f>raw_data_monthly_sales!A8</f>
        <v>42736</v>
      </c>
      <c r="B9" s="21">
        <f>raw_data_monthly_sales!K8</f>
        <v>127482.37</v>
      </c>
      <c r="C9" s="22">
        <f>raw_data_monthly_sales!C8</f>
        <v>750</v>
      </c>
      <c r="D9" s="22">
        <f>raw_data_monthly_sales!D8</f>
        <v>3</v>
      </c>
      <c r="E9" s="21">
        <f>raw_data_monthly_sales!L8</f>
        <v>169.98</v>
      </c>
      <c r="F9" s="21">
        <f>raw_data_monthly_sales!J8</f>
        <v>15684.01</v>
      </c>
    </row>
    <row r="10" spans="1:6">
      <c r="A10" s="17">
        <f>raw_data_monthly_sales!A9</f>
        <v>42767</v>
      </c>
      <c r="B10" s="18">
        <f>raw_data_monthly_sales!K9</f>
        <v>271239.32</v>
      </c>
      <c r="C10" s="19">
        <f>raw_data_monthly_sales!C9</f>
        <v>1653</v>
      </c>
      <c r="D10" s="19">
        <f>raw_data_monthly_sales!D9</f>
        <v>17</v>
      </c>
      <c r="E10" s="18">
        <f>raw_data_monthly_sales!L9</f>
        <v>164.09</v>
      </c>
      <c r="F10" s="18">
        <f>raw_data_monthly_sales!J9</f>
        <v>37015.919999999998</v>
      </c>
    </row>
    <row r="11" spans="1:6">
      <c r="A11" s="20">
        <f>raw_data_monthly_sales!A10</f>
        <v>42795</v>
      </c>
      <c r="B11" s="21">
        <f>raw_data_monthly_sales!K10</f>
        <v>414330.95</v>
      </c>
      <c r="C11" s="22">
        <f>raw_data_monthly_sales!C10</f>
        <v>2546</v>
      </c>
      <c r="D11" s="22">
        <f>raw_data_monthly_sales!D10</f>
        <v>33</v>
      </c>
      <c r="E11" s="21">
        <f>raw_data_monthly_sales!L10</f>
        <v>162.74</v>
      </c>
      <c r="F11" s="21">
        <f>raw_data_monthly_sales!J10</f>
        <v>55132.1</v>
      </c>
    </row>
    <row r="12" spans="1:6">
      <c r="A12" s="17">
        <f>raw_data_monthly_sales!A11</f>
        <v>42826</v>
      </c>
      <c r="B12" s="18">
        <f>raw_data_monthly_sales!K11</f>
        <v>390812.4</v>
      </c>
      <c r="C12" s="19">
        <f>raw_data_monthly_sales!C11</f>
        <v>2303</v>
      </c>
      <c r="D12" s="19">
        <f>raw_data_monthly_sales!D11</f>
        <v>18</v>
      </c>
      <c r="E12" s="18">
        <f>raw_data_monthly_sales!L11</f>
        <v>169.7</v>
      </c>
      <c r="F12" s="18">
        <f>raw_data_monthly_sales!J11</f>
        <v>50142.720000000001</v>
      </c>
    </row>
    <row r="13" spans="1:6">
      <c r="A13" s="20">
        <f>raw_data_monthly_sales!A12</f>
        <v>42856</v>
      </c>
      <c r="B13" s="21">
        <f>raw_data_monthly_sales!K12</f>
        <v>566851.4</v>
      </c>
      <c r="C13" s="22">
        <f>raw_data_monthly_sales!C12</f>
        <v>3546</v>
      </c>
      <c r="D13" s="22">
        <f>raw_data_monthly_sales!D12</f>
        <v>29</v>
      </c>
      <c r="E13" s="21">
        <f>raw_data_monthly_sales!L12</f>
        <v>159.86000000000001</v>
      </c>
      <c r="F13" s="21">
        <f>raw_data_monthly_sales!J12</f>
        <v>77513.149999999994</v>
      </c>
    </row>
    <row r="14" spans="1:6">
      <c r="A14" s="17">
        <f>raw_data_monthly_sales!A13</f>
        <v>42887</v>
      </c>
      <c r="B14" s="18">
        <f>raw_data_monthly_sales!K13</f>
        <v>490050.37</v>
      </c>
      <c r="C14" s="19">
        <f>raw_data_monthly_sales!C13</f>
        <v>3135</v>
      </c>
      <c r="D14" s="19">
        <f>raw_data_monthly_sales!D13</f>
        <v>16</v>
      </c>
      <c r="E14" s="18">
        <f>raw_data_monthly_sales!L13</f>
        <v>156.32</v>
      </c>
      <c r="F14" s="18">
        <f>raw_data_monthly_sales!J13</f>
        <v>68127</v>
      </c>
    </row>
    <row r="15" spans="1:6">
      <c r="A15" s="20">
        <f>raw_data_monthly_sales!A14</f>
        <v>42917</v>
      </c>
      <c r="B15" s="21">
        <f>raw_data_monthly_sales!K14</f>
        <v>566299.07999999996</v>
      </c>
      <c r="C15" s="22">
        <f>raw_data_monthly_sales!C14</f>
        <v>3872</v>
      </c>
      <c r="D15" s="22">
        <f>raw_data_monthly_sales!D14</f>
        <v>28</v>
      </c>
      <c r="E15" s="21">
        <f>raw_data_monthly_sales!L14</f>
        <v>146.25</v>
      </c>
      <c r="F15" s="21">
        <f>raw_data_monthly_sales!J14</f>
        <v>84694.56</v>
      </c>
    </row>
    <row r="16" spans="1:6">
      <c r="A16" s="17">
        <f>raw_data_monthly_sales!A15</f>
        <v>42948</v>
      </c>
      <c r="B16" s="18">
        <f>raw_data_monthly_sales!K15</f>
        <v>645832.36</v>
      </c>
      <c r="C16" s="19">
        <f>raw_data_monthly_sales!C15</f>
        <v>4193</v>
      </c>
      <c r="D16" s="19">
        <f>raw_data_monthly_sales!D15</f>
        <v>27</v>
      </c>
      <c r="E16" s="18">
        <f>raw_data_monthly_sales!L15</f>
        <v>154.03</v>
      </c>
      <c r="F16" s="18">
        <f>raw_data_monthly_sales!J15</f>
        <v>91132.66</v>
      </c>
    </row>
    <row r="17" spans="1:6">
      <c r="A17" s="20">
        <f>raw_data_monthly_sales!A16</f>
        <v>42979</v>
      </c>
      <c r="B17" s="21">
        <f>raw_data_monthly_sales!K16</f>
        <v>701077.49</v>
      </c>
      <c r="C17" s="22">
        <f>raw_data_monthly_sales!C16</f>
        <v>4150</v>
      </c>
      <c r="D17" s="22">
        <f>raw_data_monthly_sales!D16</f>
        <v>20</v>
      </c>
      <c r="E17" s="21">
        <f>raw_data_monthly_sales!L16</f>
        <v>168.93</v>
      </c>
      <c r="F17" s="21">
        <f>raw_data_monthly_sales!J16</f>
        <v>93677.82</v>
      </c>
    </row>
    <row r="18" spans="1:6">
      <c r="A18" s="17">
        <f>raw_data_monthly_sales!A17</f>
        <v>43009</v>
      </c>
      <c r="B18" s="18">
        <f>raw_data_monthly_sales!K17</f>
        <v>751117.01</v>
      </c>
      <c r="C18" s="19">
        <f>raw_data_monthly_sales!C17</f>
        <v>4478</v>
      </c>
      <c r="D18" s="19">
        <f>raw_data_monthly_sales!D17</f>
        <v>26</v>
      </c>
      <c r="E18" s="18">
        <f>raw_data_monthly_sales!L17</f>
        <v>167.73</v>
      </c>
      <c r="F18" s="18">
        <f>raw_data_monthly_sales!J17</f>
        <v>102869.36</v>
      </c>
    </row>
    <row r="19" spans="1:6">
      <c r="A19" s="20">
        <f>raw_data_monthly_sales!A18</f>
        <v>43040</v>
      </c>
      <c r="B19" s="21">
        <f>raw_data_monthly_sales!K18</f>
        <v>1153364.2</v>
      </c>
      <c r="C19" s="22">
        <f>raw_data_monthly_sales!C18</f>
        <v>7289</v>
      </c>
      <c r="D19" s="22">
        <f>raw_data_monthly_sales!D18</f>
        <v>37</v>
      </c>
      <c r="E19" s="21">
        <f>raw_data_monthly_sales!L18</f>
        <v>158.22999999999999</v>
      </c>
      <c r="F19" s="21">
        <f>raw_data_monthly_sales!J18</f>
        <v>165598.82999999999</v>
      </c>
    </row>
    <row r="20" spans="1:6">
      <c r="A20" s="17">
        <f>raw_data_monthly_sales!A19</f>
        <v>43070</v>
      </c>
      <c r="B20" s="18">
        <f>raw_data_monthly_sales!K19</f>
        <v>843078.29</v>
      </c>
      <c r="C20" s="19">
        <f>raw_data_monthly_sales!C19</f>
        <v>5513</v>
      </c>
      <c r="D20" s="19">
        <f>raw_data_monthly_sales!D19</f>
        <v>11</v>
      </c>
      <c r="E20" s="18">
        <f>raw_data_monthly_sales!L19</f>
        <v>152.93</v>
      </c>
      <c r="F20" s="18">
        <f>raw_data_monthly_sales!J19</f>
        <v>117045.1</v>
      </c>
    </row>
    <row r="21" spans="1:6">
      <c r="A21" s="20">
        <f>raw_data_monthly_sales!A20</f>
        <v>43101</v>
      </c>
      <c r="B21" s="21">
        <f>raw_data_monthly_sales!K20</f>
        <v>1077887.46</v>
      </c>
      <c r="C21" s="22">
        <f>raw_data_monthly_sales!C20</f>
        <v>7069</v>
      </c>
      <c r="D21" s="22">
        <f>raw_data_monthly_sales!D20</f>
        <v>34</v>
      </c>
      <c r="E21" s="21">
        <f>raw_data_monthly_sales!L20</f>
        <v>152.47999999999999</v>
      </c>
      <c r="F21" s="21">
        <f>raw_data_monthly_sales!J20</f>
        <v>153242.46</v>
      </c>
    </row>
    <row r="22" spans="1:6">
      <c r="A22" s="17">
        <f>raw_data_monthly_sales!A21</f>
        <v>43132</v>
      </c>
      <c r="B22" s="18">
        <f>raw_data_monthly_sales!K21</f>
        <v>966168.41</v>
      </c>
      <c r="C22" s="19">
        <f>raw_data_monthly_sales!C21</f>
        <v>6555</v>
      </c>
      <c r="D22" s="19">
        <f>raw_data_monthly_sales!D21</f>
        <v>73</v>
      </c>
      <c r="E22" s="18">
        <f>raw_data_monthly_sales!L21</f>
        <v>147.38999999999999</v>
      </c>
      <c r="F22" s="18">
        <f>raw_data_monthly_sales!J21</f>
        <v>139731.28</v>
      </c>
    </row>
    <row r="23" spans="1:6">
      <c r="A23" s="20">
        <f>raw_data_monthly_sales!A22</f>
        <v>43160</v>
      </c>
      <c r="B23" s="21">
        <f>raw_data_monthly_sales!K22</f>
        <v>1120598.24</v>
      </c>
      <c r="C23" s="22">
        <f>raw_data_monthly_sales!C22</f>
        <v>7003</v>
      </c>
      <c r="D23" s="22">
        <f>raw_data_monthly_sales!D22</f>
        <v>26</v>
      </c>
      <c r="E23" s="21">
        <f>raw_data_monthly_sales!L22</f>
        <v>160.02000000000001</v>
      </c>
      <c r="F23" s="21">
        <f>raw_data_monthly_sales!J22</f>
        <v>167241.99</v>
      </c>
    </row>
    <row r="24" spans="1:6">
      <c r="A24" s="17">
        <f>raw_data_monthly_sales!A23</f>
        <v>43191</v>
      </c>
      <c r="B24" s="18">
        <f>raw_data_monthly_sales!K23</f>
        <v>1132878.93</v>
      </c>
      <c r="C24" s="19">
        <f>raw_data_monthly_sales!C23</f>
        <v>6798</v>
      </c>
      <c r="D24" s="19">
        <f>raw_data_monthly_sales!D23</f>
        <v>15</v>
      </c>
      <c r="E24" s="18">
        <f>raw_data_monthly_sales!L23</f>
        <v>166.65</v>
      </c>
      <c r="F24" s="18">
        <f>raw_data_monthly_sales!J23</f>
        <v>159344.84</v>
      </c>
    </row>
    <row r="25" spans="1:6">
      <c r="A25" s="20">
        <f>raw_data_monthly_sales!A24</f>
        <v>43221</v>
      </c>
      <c r="B25" s="21">
        <f>raw_data_monthly_sales!K24</f>
        <v>1128774.52</v>
      </c>
      <c r="C25" s="22">
        <f>raw_data_monthly_sales!C24</f>
        <v>6749</v>
      </c>
      <c r="D25" s="22">
        <f>raw_data_monthly_sales!D24</f>
        <v>24</v>
      </c>
      <c r="E25" s="21">
        <f>raw_data_monthly_sales!L24</f>
        <v>167.25</v>
      </c>
      <c r="F25" s="21">
        <f>raw_data_monthly_sales!J24</f>
        <v>151229.82999999999</v>
      </c>
    </row>
    <row r="26" spans="1:6">
      <c r="A26" s="17">
        <f>raw_data_monthly_sales!A25</f>
        <v>43252</v>
      </c>
      <c r="B26" s="18">
        <f>raw_data_monthly_sales!K25</f>
        <v>1011978.29</v>
      </c>
      <c r="C26" s="19">
        <f>raw_data_monthly_sales!C25</f>
        <v>6099</v>
      </c>
      <c r="D26" s="19">
        <f>raw_data_monthly_sales!D25</f>
        <v>18</v>
      </c>
      <c r="E26" s="18">
        <f>raw_data_monthly_sales!L25</f>
        <v>165.93</v>
      </c>
      <c r="F26" s="18">
        <f>raw_data_monthly_sales!J25</f>
        <v>155900.43</v>
      </c>
    </row>
    <row r="27" spans="1:6">
      <c r="A27" s="20">
        <f>raw_data_monthly_sales!A26</f>
        <v>43282</v>
      </c>
      <c r="B27" s="21">
        <f>raw_data_monthly_sales!K26</f>
        <v>1027807.28</v>
      </c>
      <c r="C27" s="22">
        <f>raw_data_monthly_sales!C26</f>
        <v>6159</v>
      </c>
      <c r="D27" s="22">
        <f>raw_data_monthly_sales!D26</f>
        <v>41</v>
      </c>
      <c r="E27" s="21">
        <f>raw_data_monthly_sales!L26</f>
        <v>166.88</v>
      </c>
      <c r="F27" s="21">
        <f>raw_data_monthly_sales!J26</f>
        <v>159853.82</v>
      </c>
    </row>
    <row r="28" spans="1:6">
      <c r="A28" s="17">
        <f>raw_data_monthly_sales!A27</f>
        <v>43313</v>
      </c>
      <c r="B28" s="18">
        <f>raw_data_monthly_sales!K27</f>
        <v>985491.64</v>
      </c>
      <c r="C28" s="19">
        <f>raw_data_monthly_sales!C27</f>
        <v>6351</v>
      </c>
      <c r="D28" s="19">
        <f>raw_data_monthly_sales!D27</f>
        <v>84</v>
      </c>
      <c r="E28" s="18">
        <f>raw_data_monthly_sales!L27</f>
        <v>155.16999999999999</v>
      </c>
      <c r="F28" s="18">
        <f>raw_data_monthly_sales!J27</f>
        <v>146915</v>
      </c>
    </row>
    <row r="29" spans="1:6">
      <c r="A29" s="20">
        <f>raw_data_monthly_sales!A28</f>
        <v>43344</v>
      </c>
      <c r="B29" s="21">
        <f>raw_data_monthly_sales!K28</f>
        <v>0</v>
      </c>
      <c r="C29" s="22">
        <f>raw_data_monthly_sales!C28</f>
        <v>0</v>
      </c>
      <c r="D29" s="22">
        <f>raw_data_monthly_sales!D28</f>
        <v>15</v>
      </c>
      <c r="E29" s="21">
        <f>raw_data_monthly_sales!L28</f>
        <v>0</v>
      </c>
      <c r="F29" s="21">
        <f>raw_data_monthly_sales!J28</f>
        <v>0</v>
      </c>
    </row>
    <row r="30" spans="1:6">
      <c r="A30" s="17">
        <f>raw_data_monthly_sales!A29</f>
        <v>43374</v>
      </c>
      <c r="B30" s="18">
        <f>raw_data_monthly_sales!K29</f>
        <v>0</v>
      </c>
      <c r="C30" s="19">
        <f>raw_data_monthly_sales!C29</f>
        <v>0</v>
      </c>
      <c r="D30" s="19">
        <f>raw_data_monthly_sales!D29</f>
        <v>4</v>
      </c>
      <c r="E30" s="18">
        <f>raw_data_monthly_sales!L29</f>
        <v>0</v>
      </c>
      <c r="F30" s="18">
        <f>raw_data_monthly_sales!J29</f>
        <v>0</v>
      </c>
    </row>
    <row r="31" spans="1:6">
      <c r="A31" s="23" t="s">
        <v>57</v>
      </c>
      <c r="B31" s="24">
        <f>SUM(B6:B30)</f>
        <v>15419773.749999998</v>
      </c>
      <c r="C31" s="25">
        <f>SUM(C6:C30)</f>
        <v>96478</v>
      </c>
      <c r="D31" s="25">
        <f>SUM(D6:D30)</f>
        <v>625</v>
      </c>
      <c r="E31" s="24">
        <f>AVERAGE(E6:E30)</f>
        <v>142.04319999999998</v>
      </c>
      <c r="F31" s="24">
        <f>SUM(F6:F30)</f>
        <v>2198275.64</v>
      </c>
    </row>
    <row r="33" spans="1:1">
      <c r="A33" s="9" t="s">
        <v>58</v>
      </c>
    </row>
  </sheetData>
  <sheetProtection sheet="1" objects="1" scenarios="1"/>
  <conditionalFormatting sqref="B6:B30">
    <cfRule type="colorScale" priority="2">
      <colorScale>
        <cfvo type="min"/>
        <cfvo type="percentile" val="50"/>
        <cfvo type="max"/>
        <color rgb="FFF8CBAD"/>
        <color rgb="FFFFF2CC"/>
        <color rgb="FFC6E0B4"/>
      </colorScale>
    </cfRule>
  </conditionalFormatting>
  <conditionalFormatting sqref="D6:D30">
    <cfRule type="cellIs" dxfId="2" priority="3" operator="greaterThan">
      <formula>50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showGridLines="0" topLeftCell="B1" zoomScaleNormal="100" workbookViewId="0">
      <selection activeCell="U10" sqref="U10"/>
    </sheetView>
  </sheetViews>
  <sheetFormatPr defaultColWidth="8.7109375" defaultRowHeight="15"/>
  <cols>
    <col min="1" max="1" width="26" customWidth="1"/>
    <col min="2" max="2" width="18" customWidth="1"/>
    <col min="3" max="3" width="16" customWidth="1"/>
    <col min="4" max="4" width="14" customWidth="1"/>
    <col min="5" max="5" width="15" customWidth="1"/>
    <col min="6" max="6" width="12" customWidth="1"/>
    <col min="7" max="7" width="16" customWidth="1"/>
  </cols>
  <sheetData>
    <row r="1" spans="1:7" ht="19.7">
      <c r="A1" s="16" t="s">
        <v>59</v>
      </c>
    </row>
    <row r="2" spans="1:7">
      <c r="A2" s="2" t="s">
        <v>60</v>
      </c>
    </row>
    <row r="3" spans="1:7">
      <c r="A3" s="9" t="s">
        <v>61</v>
      </c>
    </row>
    <row r="5" spans="1:7" ht="27.75" customHeight="1">
      <c r="A5" s="4" t="s">
        <v>62</v>
      </c>
      <c r="B5" s="4" t="s">
        <v>52</v>
      </c>
      <c r="C5" s="4" t="s">
        <v>63</v>
      </c>
      <c r="D5" s="4" t="s">
        <v>56</v>
      </c>
      <c r="E5" s="4" t="s">
        <v>53</v>
      </c>
      <c r="F5" s="4" t="s">
        <v>64</v>
      </c>
      <c r="G5" s="4" t="s">
        <v>55</v>
      </c>
    </row>
    <row r="6" spans="1:7">
      <c r="A6" s="26" t="str">
        <f>raw_data_category_performance!A5</f>
        <v>health_beauty</v>
      </c>
      <c r="B6" s="27">
        <f>raw_data_category_performance!F5</f>
        <v>1412089.53</v>
      </c>
      <c r="C6" s="27">
        <f>raw_data_category_performance!D5</f>
        <v>1233131.72</v>
      </c>
      <c r="D6" s="27">
        <f>raw_data_category_performance!E5</f>
        <v>178957.81</v>
      </c>
      <c r="E6" s="28">
        <f>raw_data_category_performance!B5</f>
        <v>8647</v>
      </c>
      <c r="F6" s="28">
        <f>raw_data_category_performance!C5</f>
        <v>9465</v>
      </c>
      <c r="G6" s="27">
        <f>raw_data_category_performance!G5</f>
        <v>163.30000000000001</v>
      </c>
    </row>
    <row r="7" spans="1:7">
      <c r="A7" s="29" t="str">
        <f>raw_data_category_performance!A6</f>
        <v>watches_gifts</v>
      </c>
      <c r="B7" s="30">
        <f>raw_data_category_performance!F6</f>
        <v>1264333.1200000001</v>
      </c>
      <c r="C7" s="30">
        <f>raw_data_category_performance!D6</f>
        <v>1166176.98</v>
      </c>
      <c r="D7" s="30">
        <f>raw_data_category_performance!E6</f>
        <v>98156.14</v>
      </c>
      <c r="E7" s="31">
        <f>raw_data_category_performance!B6</f>
        <v>5495</v>
      </c>
      <c r="F7" s="31">
        <f>raw_data_category_performance!C6</f>
        <v>5859</v>
      </c>
      <c r="G7" s="30">
        <f>raw_data_category_performance!G6</f>
        <v>230.09</v>
      </c>
    </row>
    <row r="8" spans="1:7">
      <c r="A8" s="26" t="str">
        <f>raw_data_category_performance!A7</f>
        <v>bed_bath_table</v>
      </c>
      <c r="B8" s="27">
        <f>raw_data_category_performance!F7</f>
        <v>1225209.26</v>
      </c>
      <c r="C8" s="27">
        <f>raw_data_category_performance!D7</f>
        <v>1023434.76</v>
      </c>
      <c r="D8" s="27">
        <f>raw_data_category_performance!E7</f>
        <v>201774.5</v>
      </c>
      <c r="E8" s="28">
        <f>raw_data_category_performance!B7</f>
        <v>9272</v>
      </c>
      <c r="F8" s="28">
        <f>raw_data_category_performance!C7</f>
        <v>10953</v>
      </c>
      <c r="G8" s="27">
        <f>raw_data_category_performance!G7</f>
        <v>132.13999999999999</v>
      </c>
    </row>
    <row r="9" spans="1:7">
      <c r="A9" s="29" t="str">
        <f>raw_data_category_performance!A8</f>
        <v>sports_leisure</v>
      </c>
      <c r="B9" s="30">
        <f>raw_data_category_performance!F8</f>
        <v>1118256.9099999999</v>
      </c>
      <c r="C9" s="30">
        <f>raw_data_category_performance!D8</f>
        <v>954852.55</v>
      </c>
      <c r="D9" s="30">
        <f>raw_data_category_performance!E8</f>
        <v>163404.35999999999</v>
      </c>
      <c r="E9" s="31">
        <f>raw_data_category_performance!B8</f>
        <v>7530</v>
      </c>
      <c r="F9" s="31">
        <f>raw_data_category_performance!C8</f>
        <v>8431</v>
      </c>
      <c r="G9" s="30">
        <f>raw_data_category_performance!G8</f>
        <v>148.51</v>
      </c>
    </row>
    <row r="10" spans="1:7">
      <c r="A10" s="26" t="str">
        <f>raw_data_category_performance!A9</f>
        <v>computers_accessories</v>
      </c>
      <c r="B10" s="27">
        <f>raw_data_category_performance!F9</f>
        <v>1032723.77</v>
      </c>
      <c r="C10" s="27">
        <f>raw_data_category_performance!D9</f>
        <v>888724.61</v>
      </c>
      <c r="D10" s="27">
        <f>raw_data_category_performance!E9</f>
        <v>143999.16</v>
      </c>
      <c r="E10" s="28">
        <f>raw_data_category_performance!B9</f>
        <v>6530</v>
      </c>
      <c r="F10" s="28">
        <f>raw_data_category_performance!C9</f>
        <v>7644</v>
      </c>
      <c r="G10" s="27">
        <f>raw_data_category_performance!G9</f>
        <v>158.15</v>
      </c>
    </row>
    <row r="11" spans="1:7">
      <c r="A11" s="29" t="str">
        <f>raw_data_category_performance!A10</f>
        <v>furniture_decor</v>
      </c>
      <c r="B11" s="30">
        <f>raw_data_category_performance!F10</f>
        <v>880329.92</v>
      </c>
      <c r="C11" s="30">
        <f>raw_data_category_performance!D10</f>
        <v>711927.69</v>
      </c>
      <c r="D11" s="30">
        <f>raw_data_category_performance!E10</f>
        <v>168402.23</v>
      </c>
      <c r="E11" s="31">
        <f>raw_data_category_performance!B10</f>
        <v>6307</v>
      </c>
      <c r="F11" s="31">
        <f>raw_data_category_performance!C10</f>
        <v>8160</v>
      </c>
      <c r="G11" s="30">
        <f>raw_data_category_performance!G10</f>
        <v>139.58000000000001</v>
      </c>
    </row>
    <row r="12" spans="1:7">
      <c r="A12" s="26" t="str">
        <f>raw_data_category_performance!A11</f>
        <v>housewares</v>
      </c>
      <c r="B12" s="27">
        <f>raw_data_category_performance!F11</f>
        <v>758392.25</v>
      </c>
      <c r="C12" s="27">
        <f>raw_data_category_performance!D11</f>
        <v>615628.68999999994</v>
      </c>
      <c r="D12" s="27">
        <f>raw_data_category_performance!E11</f>
        <v>142763.56</v>
      </c>
      <c r="E12" s="28">
        <f>raw_data_category_performance!B11</f>
        <v>5743</v>
      </c>
      <c r="F12" s="28">
        <f>raw_data_category_performance!C11</f>
        <v>6795</v>
      </c>
      <c r="G12" s="27">
        <f>raw_data_category_performance!G11</f>
        <v>132.06</v>
      </c>
    </row>
    <row r="13" spans="1:7">
      <c r="A13" s="29" t="str">
        <f>raw_data_category_performance!A12</f>
        <v>cool_stuff</v>
      </c>
      <c r="B13" s="30">
        <f>raw_data_category_performance!F12</f>
        <v>691680.89</v>
      </c>
      <c r="C13" s="30">
        <f>raw_data_category_performance!D12</f>
        <v>610204.1</v>
      </c>
      <c r="D13" s="30">
        <f>raw_data_category_performance!E12</f>
        <v>81476.789999999994</v>
      </c>
      <c r="E13" s="31">
        <f>raw_data_category_performance!B12</f>
        <v>3559</v>
      </c>
      <c r="F13" s="31">
        <f>raw_data_category_performance!C12</f>
        <v>3718</v>
      </c>
      <c r="G13" s="30">
        <f>raw_data_category_performance!G12</f>
        <v>194.35</v>
      </c>
    </row>
    <row r="14" spans="1:7">
      <c r="A14" s="26" t="str">
        <f>raw_data_category_performance!A13</f>
        <v>auto</v>
      </c>
      <c r="B14" s="27">
        <f>raw_data_category_performance!F13</f>
        <v>669454.75</v>
      </c>
      <c r="C14" s="27">
        <f>raw_data_category_performance!D13</f>
        <v>578966.65</v>
      </c>
      <c r="D14" s="27">
        <f>raw_data_category_performance!E13</f>
        <v>90488.1</v>
      </c>
      <c r="E14" s="28">
        <f>raw_data_category_performance!B13</f>
        <v>3810</v>
      </c>
      <c r="F14" s="28">
        <f>raw_data_category_performance!C13</f>
        <v>4140</v>
      </c>
      <c r="G14" s="27">
        <f>raw_data_category_performance!G13</f>
        <v>175.71</v>
      </c>
    </row>
    <row r="15" spans="1:7">
      <c r="A15" s="29" t="str">
        <f>raw_data_category_performance!A14</f>
        <v>garden_tools</v>
      </c>
      <c r="B15" s="30">
        <f>raw_data_category_performance!F14</f>
        <v>567145.68000000005</v>
      </c>
      <c r="C15" s="30">
        <f>raw_data_category_performance!D14</f>
        <v>470495.28</v>
      </c>
      <c r="D15" s="30">
        <f>raw_data_category_performance!E14</f>
        <v>96650.4</v>
      </c>
      <c r="E15" s="31">
        <f>raw_data_category_performance!B14</f>
        <v>3448</v>
      </c>
      <c r="F15" s="31">
        <f>raw_data_category_performance!C14</f>
        <v>4268</v>
      </c>
      <c r="G15" s="30">
        <f>raw_data_category_performance!G14</f>
        <v>164.49</v>
      </c>
    </row>
    <row r="16" spans="1:7">
      <c r="A16" s="26" t="str">
        <f>raw_data_category_performance!A15</f>
        <v>toys</v>
      </c>
      <c r="B16" s="27">
        <f>raw_data_category_performance!F15</f>
        <v>547061.06000000006</v>
      </c>
      <c r="C16" s="27">
        <f>raw_data_category_performance!D15</f>
        <v>471286.48</v>
      </c>
      <c r="D16" s="27">
        <f>raw_data_category_performance!E15</f>
        <v>75774.58</v>
      </c>
      <c r="E16" s="28">
        <f>raw_data_category_performance!B15</f>
        <v>3804</v>
      </c>
      <c r="F16" s="28">
        <f>raw_data_category_performance!C15</f>
        <v>4030</v>
      </c>
      <c r="G16" s="27">
        <f>raw_data_category_performance!G15</f>
        <v>143.81</v>
      </c>
    </row>
    <row r="17" spans="1:7">
      <c r="A17" s="29" t="str">
        <f>raw_data_category_performance!A16</f>
        <v>baby</v>
      </c>
      <c r="B17" s="30">
        <f>raw_data_category_performance!F16</f>
        <v>466727.65</v>
      </c>
      <c r="C17" s="30">
        <f>raw_data_category_performance!D16</f>
        <v>400421.84</v>
      </c>
      <c r="D17" s="30">
        <f>raw_data_category_performance!E16</f>
        <v>66305.81</v>
      </c>
      <c r="E17" s="31">
        <f>raw_data_category_performance!B16</f>
        <v>2809</v>
      </c>
      <c r="F17" s="31">
        <f>raw_data_category_performance!C16</f>
        <v>2982</v>
      </c>
      <c r="G17" s="30">
        <f>raw_data_category_performance!G16</f>
        <v>166.15</v>
      </c>
    </row>
    <row r="18" spans="1:7">
      <c r="A18" s="26" t="str">
        <f>raw_data_category_performance!A17</f>
        <v>perfumery</v>
      </c>
      <c r="B18" s="27">
        <f>raw_data_category_performance!F17</f>
        <v>443171.63</v>
      </c>
      <c r="C18" s="27">
        <f>raw_data_category_performance!D17</f>
        <v>390144.65</v>
      </c>
      <c r="D18" s="27">
        <f>raw_data_category_performance!E17</f>
        <v>53026.98</v>
      </c>
      <c r="E18" s="28">
        <f>raw_data_category_performance!B17</f>
        <v>3086</v>
      </c>
      <c r="F18" s="28">
        <f>raw_data_category_performance!C17</f>
        <v>3340</v>
      </c>
      <c r="G18" s="27">
        <f>raw_data_category_performance!G17</f>
        <v>143.61000000000001</v>
      </c>
    </row>
    <row r="19" spans="1:7">
      <c r="A19" s="29" t="str">
        <f>raw_data_category_performance!A18</f>
        <v>telephony</v>
      </c>
      <c r="B19" s="30">
        <f>raw_data_category_performance!F18</f>
        <v>379202.62</v>
      </c>
      <c r="C19" s="30">
        <f>raw_data_category_performance!D18</f>
        <v>309860.23</v>
      </c>
      <c r="D19" s="30">
        <f>raw_data_category_performance!E18</f>
        <v>69342.39</v>
      </c>
      <c r="E19" s="31">
        <f>raw_data_category_performance!B18</f>
        <v>4093</v>
      </c>
      <c r="F19" s="31">
        <f>raw_data_category_performance!C18</f>
        <v>4430</v>
      </c>
      <c r="G19" s="30">
        <f>raw_data_category_performance!G18</f>
        <v>92.65</v>
      </c>
    </row>
    <row r="20" spans="1:7">
      <c r="A20" s="26" t="str">
        <f>raw_data_category_performance!A19</f>
        <v>office_furniture</v>
      </c>
      <c r="B20" s="27">
        <f>raw_data_category_performance!F19</f>
        <v>335211.36</v>
      </c>
      <c r="C20" s="27">
        <f>raw_data_category_performance!D19</f>
        <v>268154.31</v>
      </c>
      <c r="D20" s="27">
        <f>raw_data_category_performance!E19</f>
        <v>67057.05</v>
      </c>
      <c r="E20" s="28">
        <f>raw_data_category_performance!B19</f>
        <v>1254</v>
      </c>
      <c r="F20" s="28">
        <f>raw_data_category_performance!C19</f>
        <v>1668</v>
      </c>
      <c r="G20" s="27">
        <f>raw_data_category_performance!G19</f>
        <v>267.31</v>
      </c>
    </row>
    <row r="21" spans="1:7">
      <c r="A21" s="29" t="str">
        <f>raw_data_category_performance!A20</f>
        <v>stationery</v>
      </c>
      <c r="B21" s="30">
        <f>raw_data_category_performance!F20</f>
        <v>269575.05</v>
      </c>
      <c r="C21" s="30">
        <f>raw_data_category_performance!D20</f>
        <v>223788.69</v>
      </c>
      <c r="D21" s="30">
        <f>raw_data_category_performance!E20</f>
        <v>45786.36</v>
      </c>
      <c r="E21" s="31">
        <f>raw_data_category_performance!B20</f>
        <v>2264</v>
      </c>
      <c r="F21" s="31">
        <f>raw_data_category_performance!C20</f>
        <v>2466</v>
      </c>
      <c r="G21" s="30">
        <f>raw_data_category_performance!G20</f>
        <v>119.07</v>
      </c>
    </row>
    <row r="22" spans="1:7">
      <c r="A22" s="26" t="str">
        <f>raw_data_category_performance!A21</f>
        <v>pet_shop</v>
      </c>
      <c r="B22" s="27">
        <f>raw_data_category_performance!F21</f>
        <v>250614.2</v>
      </c>
      <c r="C22" s="27">
        <f>raw_data_category_performance!D21</f>
        <v>211695.64</v>
      </c>
      <c r="D22" s="27">
        <f>raw_data_category_performance!E21</f>
        <v>38918.559999999998</v>
      </c>
      <c r="E22" s="28">
        <f>raw_data_category_performance!B21</f>
        <v>1688</v>
      </c>
      <c r="F22" s="28">
        <f>raw_data_category_performance!C21</f>
        <v>1924</v>
      </c>
      <c r="G22" s="27">
        <f>raw_data_category_performance!G21</f>
        <v>148.47</v>
      </c>
    </row>
    <row r="23" spans="1:7">
      <c r="A23" s="29" t="str">
        <f>raw_data_category_performance!A22</f>
        <v>computers</v>
      </c>
      <c r="B23" s="30">
        <f>raw_data_category_performance!F22</f>
        <v>228349.76</v>
      </c>
      <c r="C23" s="30">
        <f>raw_data_category_performance!D22</f>
        <v>218684.14</v>
      </c>
      <c r="D23" s="30">
        <f>raw_data_category_performance!E22</f>
        <v>9665.6200000000008</v>
      </c>
      <c r="E23" s="31">
        <f>raw_data_category_performance!B22</f>
        <v>177</v>
      </c>
      <c r="F23" s="31">
        <f>raw_data_category_performance!C22</f>
        <v>199</v>
      </c>
      <c r="G23" s="30">
        <f>raw_data_category_performance!G22</f>
        <v>1290.1099999999999</v>
      </c>
    </row>
    <row r="24" spans="1:7">
      <c r="A24" s="26" t="str">
        <f>raw_data_category_performance!A23</f>
        <v>musical_instruments</v>
      </c>
      <c r="B24" s="27">
        <f>raw_data_category_performance!F23</f>
        <v>202187.12</v>
      </c>
      <c r="C24" s="27">
        <f>raw_data_category_performance!D23</f>
        <v>184315.74</v>
      </c>
      <c r="D24" s="27">
        <f>raw_data_category_performance!E23</f>
        <v>17871.38</v>
      </c>
      <c r="E24" s="28">
        <f>raw_data_category_performance!B23</f>
        <v>611</v>
      </c>
      <c r="F24" s="28">
        <f>raw_data_category_performance!C23</f>
        <v>651</v>
      </c>
      <c r="G24" s="27">
        <f>raw_data_category_performance!G23</f>
        <v>330.91</v>
      </c>
    </row>
    <row r="25" spans="1:7">
      <c r="A25" s="29" t="str">
        <f>raw_data_category_performance!A24</f>
        <v>electronics</v>
      </c>
      <c r="B25" s="30">
        <f>raw_data_category_performance!F24</f>
        <v>200723.09</v>
      </c>
      <c r="C25" s="30">
        <f>raw_data_category_performance!D24</f>
        <v>155043.93</v>
      </c>
      <c r="D25" s="30">
        <f>raw_data_category_performance!E24</f>
        <v>45679.16</v>
      </c>
      <c r="E25" s="31">
        <f>raw_data_category_performance!B24</f>
        <v>2517</v>
      </c>
      <c r="F25" s="31">
        <f>raw_data_category_performance!C24</f>
        <v>2729</v>
      </c>
      <c r="G25" s="30">
        <f>raw_data_category_performance!G24</f>
        <v>79.75</v>
      </c>
    </row>
    <row r="26" spans="1:7">
      <c r="A26" s="26" t="str">
        <f>raw_data_category_performance!A25</f>
        <v>small_appliances</v>
      </c>
      <c r="B26" s="27">
        <f>raw_data_category_performance!F25</f>
        <v>198108.47</v>
      </c>
      <c r="C26" s="27">
        <f>raw_data_category_performance!D25</f>
        <v>182754.12</v>
      </c>
      <c r="D26" s="27">
        <f>raw_data_category_performance!E25</f>
        <v>15354.35</v>
      </c>
      <c r="E26" s="28">
        <f>raw_data_category_performance!B25</f>
        <v>609</v>
      </c>
      <c r="F26" s="28">
        <f>raw_data_category_performance!C25</f>
        <v>658</v>
      </c>
      <c r="G26" s="27">
        <f>raw_data_category_performance!G25</f>
        <v>325.3</v>
      </c>
    </row>
    <row r="27" spans="1:7">
      <c r="A27" s="29" t="str">
        <f>raw_data_category_performance!A26</f>
        <v>Unknown</v>
      </c>
      <c r="B27" s="30">
        <f>raw_data_category_performance!F26</f>
        <v>197695.69</v>
      </c>
      <c r="C27" s="30">
        <f>raw_data_category_performance!D26</f>
        <v>170726.63</v>
      </c>
      <c r="D27" s="30">
        <f>raw_data_category_performance!E26</f>
        <v>26969.06</v>
      </c>
      <c r="E27" s="31">
        <f>raw_data_category_performance!B26</f>
        <v>1392</v>
      </c>
      <c r="F27" s="31">
        <f>raw_data_category_performance!C26</f>
        <v>1537</v>
      </c>
      <c r="G27" s="30">
        <f>raw_data_category_performance!G26</f>
        <v>142.02000000000001</v>
      </c>
    </row>
    <row r="28" spans="1:7">
      <c r="A28" s="26" t="str">
        <f>raw_data_category_performance!A27</f>
        <v>fashion_bags_accessories</v>
      </c>
      <c r="B28" s="27">
        <f>raw_data_category_performance!F27</f>
        <v>179888.29</v>
      </c>
      <c r="C28" s="27">
        <f>raw_data_category_performance!D27</f>
        <v>149329.39000000001</v>
      </c>
      <c r="D28" s="27">
        <f>raw_data_category_performance!E27</f>
        <v>30558.9</v>
      </c>
      <c r="E28" s="28">
        <f>raw_data_category_performance!B27</f>
        <v>1820</v>
      </c>
      <c r="F28" s="28">
        <f>raw_data_category_performance!C27</f>
        <v>1985</v>
      </c>
      <c r="G28" s="27">
        <f>raw_data_category_performance!G27</f>
        <v>98.84</v>
      </c>
    </row>
    <row r="29" spans="1:7">
      <c r="A29" s="29" t="str">
        <f>raw_data_category_performance!A28</f>
        <v>luggage_accessories</v>
      </c>
      <c r="B29" s="30">
        <f>raw_data_category_performance!F28</f>
        <v>168778.12</v>
      </c>
      <c r="C29" s="30">
        <f>raw_data_category_performance!D28</f>
        <v>138701.63</v>
      </c>
      <c r="D29" s="30">
        <f>raw_data_category_performance!E28</f>
        <v>30076.49</v>
      </c>
      <c r="E29" s="31">
        <f>raw_data_category_performance!B28</f>
        <v>1019</v>
      </c>
      <c r="F29" s="31">
        <f>raw_data_category_performance!C28</f>
        <v>1077</v>
      </c>
      <c r="G29" s="30">
        <f>raw_data_category_performance!G28</f>
        <v>165.63</v>
      </c>
    </row>
    <row r="30" spans="1:7">
      <c r="A30" s="26" t="str">
        <f>raw_data_category_performance!A29</f>
        <v>consoles_games</v>
      </c>
      <c r="B30" s="27">
        <f>raw_data_category_performance!F29</f>
        <v>167097.73000000001</v>
      </c>
      <c r="C30" s="27">
        <f>raw_data_category_performance!D29</f>
        <v>148003.37</v>
      </c>
      <c r="D30" s="27">
        <f>raw_data_category_performance!E29</f>
        <v>19094.36</v>
      </c>
      <c r="E30" s="28">
        <f>raw_data_category_performance!B29</f>
        <v>1018</v>
      </c>
      <c r="F30" s="28">
        <f>raw_data_category_performance!C29</f>
        <v>1089</v>
      </c>
      <c r="G30" s="27">
        <f>raw_data_category_performance!G29</f>
        <v>164.14</v>
      </c>
    </row>
    <row r="31" spans="1:7">
      <c r="A31" s="29" t="str">
        <f>raw_data_category_performance!A30</f>
        <v>construction_tools_construction</v>
      </c>
      <c r="B31" s="30">
        <f>raw_data_category_performance!F30</f>
        <v>162382.01</v>
      </c>
      <c r="C31" s="30">
        <f>raw_data_category_performance!D30</f>
        <v>142108.49</v>
      </c>
      <c r="D31" s="30">
        <f>raw_data_category_performance!E30</f>
        <v>20273.52</v>
      </c>
      <c r="E31" s="31">
        <f>raw_data_category_performance!B30</f>
        <v>736</v>
      </c>
      <c r="F31" s="31">
        <f>raw_data_category_performance!C30</f>
        <v>916</v>
      </c>
      <c r="G31" s="30">
        <f>raw_data_category_performance!G30</f>
        <v>220.63</v>
      </c>
    </row>
    <row r="32" spans="1:7">
      <c r="A32" s="26" t="str">
        <f>raw_data_category_performance!A31</f>
        <v>home_appliances_2</v>
      </c>
      <c r="B32" s="27">
        <f>raw_data_category_performance!F31</f>
        <v>118208.52</v>
      </c>
      <c r="C32" s="27">
        <f>raw_data_category_performance!D31</f>
        <v>107953.95</v>
      </c>
      <c r="D32" s="27">
        <f>raw_data_category_performance!E31</f>
        <v>10254.57</v>
      </c>
      <c r="E32" s="28">
        <f>raw_data_category_performance!B31</f>
        <v>227</v>
      </c>
      <c r="F32" s="28">
        <f>raw_data_category_performance!C31</f>
        <v>231</v>
      </c>
      <c r="G32" s="27">
        <f>raw_data_category_performance!G31</f>
        <v>520.74</v>
      </c>
    </row>
    <row r="33" spans="1:7">
      <c r="A33" s="29" t="str">
        <f>raw_data_category_performance!A32</f>
        <v>home_construction</v>
      </c>
      <c r="B33" s="30">
        <f>raw_data_category_performance!F32</f>
        <v>95022.37</v>
      </c>
      <c r="C33" s="30">
        <f>raw_data_category_performance!D32</f>
        <v>81407.570000000007</v>
      </c>
      <c r="D33" s="30">
        <f>raw_data_category_performance!E32</f>
        <v>13614.8</v>
      </c>
      <c r="E33" s="31">
        <f>raw_data_category_performance!B32</f>
        <v>483</v>
      </c>
      <c r="F33" s="31">
        <f>raw_data_category_performance!C32</f>
        <v>596</v>
      </c>
      <c r="G33" s="30">
        <f>raw_data_category_performance!G32</f>
        <v>196.73</v>
      </c>
    </row>
    <row r="34" spans="1:7">
      <c r="A34" s="26" t="str">
        <f>raw_data_category_performance!A33</f>
        <v>home_appliances</v>
      </c>
      <c r="B34" s="27">
        <f>raw_data_category_performance!F33</f>
        <v>93301.78</v>
      </c>
      <c r="C34" s="27">
        <f>raw_data_category_performance!D33</f>
        <v>78832.479999999996</v>
      </c>
      <c r="D34" s="27">
        <f>raw_data_category_performance!E33</f>
        <v>14469.3</v>
      </c>
      <c r="E34" s="28">
        <f>raw_data_category_performance!B33</f>
        <v>747</v>
      </c>
      <c r="F34" s="28">
        <f>raw_data_category_performance!C33</f>
        <v>754</v>
      </c>
      <c r="G34" s="27">
        <f>raw_data_category_performance!G33</f>
        <v>124.9</v>
      </c>
    </row>
    <row r="35" spans="1:7">
      <c r="A35" s="29" t="str">
        <f>raw_data_category_performance!A34</f>
        <v>furniture_living_room</v>
      </c>
      <c r="B35" s="30">
        <f>raw_data_category_performance!F34</f>
        <v>85045.07</v>
      </c>
      <c r="C35" s="30">
        <f>raw_data_category_performance!D34</f>
        <v>67350.7</v>
      </c>
      <c r="D35" s="30">
        <f>raw_data_category_performance!E34</f>
        <v>17694.37</v>
      </c>
      <c r="E35" s="31">
        <f>raw_data_category_performance!B34</f>
        <v>414</v>
      </c>
      <c r="F35" s="31">
        <f>raw_data_category_performance!C34</f>
        <v>495</v>
      </c>
      <c r="G35" s="30">
        <f>raw_data_category_performance!G34</f>
        <v>205.42</v>
      </c>
    </row>
    <row r="36" spans="1:7">
      <c r="A36" s="26" t="str">
        <f>raw_data_category_performance!A35</f>
        <v>agro_industry_and_commerce</v>
      </c>
      <c r="B36" s="27">
        <f>raw_data_category_performance!F35</f>
        <v>76203.3</v>
      </c>
      <c r="C36" s="27">
        <f>raw_data_category_performance!D35</f>
        <v>70566.100000000006</v>
      </c>
      <c r="D36" s="27">
        <f>raw_data_category_performance!E35</f>
        <v>5637.2</v>
      </c>
      <c r="E36" s="28">
        <f>raw_data_category_performance!B35</f>
        <v>177</v>
      </c>
      <c r="F36" s="28">
        <f>raw_data_category_performance!C35</f>
        <v>206</v>
      </c>
      <c r="G36" s="27">
        <f>raw_data_category_performance!G35</f>
        <v>430.53</v>
      </c>
    </row>
    <row r="37" spans="1:7">
      <c r="A37" s="29" t="str">
        <f>raw_data_category_performance!A36</f>
        <v>home_confort</v>
      </c>
      <c r="B37" s="30">
        <f>raw_data_category_performance!F36</f>
        <v>66438.22</v>
      </c>
      <c r="C37" s="30">
        <f>raw_data_category_performance!D36</f>
        <v>58008.45</v>
      </c>
      <c r="D37" s="30">
        <f>raw_data_category_performance!E36</f>
        <v>8429.77</v>
      </c>
      <c r="E37" s="31">
        <f>raw_data_category_performance!B36</f>
        <v>392</v>
      </c>
      <c r="F37" s="31">
        <f>raw_data_category_performance!C36</f>
        <v>429</v>
      </c>
      <c r="G37" s="30">
        <f>raw_data_category_performance!G36</f>
        <v>169.49</v>
      </c>
    </row>
    <row r="38" spans="1:7">
      <c r="A38" s="26" t="str">
        <f>raw_data_category_performance!A37</f>
        <v>air_conditioning</v>
      </c>
      <c r="B38" s="27">
        <f>raw_data_category_performance!F37</f>
        <v>59854.55</v>
      </c>
      <c r="C38" s="27">
        <f>raw_data_category_performance!D37</f>
        <v>53323.56</v>
      </c>
      <c r="D38" s="27">
        <f>raw_data_category_performance!E37</f>
        <v>6530.99</v>
      </c>
      <c r="E38" s="28">
        <f>raw_data_category_performance!B37</f>
        <v>246</v>
      </c>
      <c r="F38" s="28">
        <f>raw_data_category_performance!C37</f>
        <v>289</v>
      </c>
      <c r="G38" s="27">
        <f>raw_data_category_performance!G37</f>
        <v>243.31</v>
      </c>
    </row>
    <row r="39" spans="1:7">
      <c r="A39" s="29" t="str">
        <f>raw_data_category_performance!A38</f>
        <v>fixed_telephony</v>
      </c>
      <c r="B39" s="30">
        <f>raw_data_category_performance!F38</f>
        <v>59816.54</v>
      </c>
      <c r="C39" s="30">
        <f>raw_data_category_performance!D38</f>
        <v>55315.21</v>
      </c>
      <c r="D39" s="30">
        <f>raw_data_category_performance!E38</f>
        <v>4501.33</v>
      </c>
      <c r="E39" s="31">
        <f>raw_data_category_performance!B38</f>
        <v>212</v>
      </c>
      <c r="F39" s="31">
        <f>raw_data_category_performance!C38</f>
        <v>255</v>
      </c>
      <c r="G39" s="30">
        <f>raw_data_category_performance!G38</f>
        <v>282.14999999999998</v>
      </c>
    </row>
    <row r="40" spans="1:7">
      <c r="A40" s="26" t="str">
        <f>raw_data_category_performance!A39</f>
        <v>kitchen_dining_laundry_garden_furniture</v>
      </c>
      <c r="B40" s="27">
        <f>raw_data_category_performance!F39</f>
        <v>57072.97</v>
      </c>
      <c r="C40" s="27">
        <f>raw_data_category_performance!D39</f>
        <v>45531.98</v>
      </c>
      <c r="D40" s="27">
        <f>raw_data_category_performance!E39</f>
        <v>11540.99</v>
      </c>
      <c r="E40" s="28">
        <f>raw_data_category_performance!B39</f>
        <v>241</v>
      </c>
      <c r="F40" s="28">
        <f>raw_data_category_performance!C39</f>
        <v>274</v>
      </c>
      <c r="G40" s="27">
        <f>raw_data_category_performance!G39</f>
        <v>236.82</v>
      </c>
    </row>
    <row r="41" spans="1:7">
      <c r="A41" s="29" t="str">
        <f>raw_data_category_performance!A40</f>
        <v>audio</v>
      </c>
      <c r="B41" s="30">
        <f>raw_data_category_performance!F40</f>
        <v>56255.32</v>
      </c>
      <c r="C41" s="30">
        <f>raw_data_category_performance!D40</f>
        <v>50570.6</v>
      </c>
      <c r="D41" s="30">
        <f>raw_data_category_performance!E40</f>
        <v>5684.72</v>
      </c>
      <c r="E41" s="31">
        <f>raw_data_category_performance!B40</f>
        <v>348</v>
      </c>
      <c r="F41" s="31">
        <f>raw_data_category_performance!C40</f>
        <v>362</v>
      </c>
      <c r="G41" s="30">
        <f>raw_data_category_performance!G40</f>
        <v>161.65</v>
      </c>
    </row>
    <row r="42" spans="1:7">
      <c r="A42" s="26" t="str">
        <f>raw_data_category_performance!A41</f>
        <v>books_general_interest</v>
      </c>
      <c r="B42" s="27">
        <f>raw_data_category_performance!F41</f>
        <v>54182.54</v>
      </c>
      <c r="C42" s="27">
        <f>raw_data_category_performance!D41</f>
        <v>45302.15</v>
      </c>
      <c r="D42" s="27">
        <f>raw_data_category_performance!E41</f>
        <v>8880.39</v>
      </c>
      <c r="E42" s="28">
        <f>raw_data_category_performance!B41</f>
        <v>496</v>
      </c>
      <c r="F42" s="28">
        <f>raw_data_category_performance!C41</f>
        <v>537</v>
      </c>
      <c r="G42" s="27">
        <f>raw_data_category_performance!G41</f>
        <v>109.24</v>
      </c>
    </row>
    <row r="43" spans="1:7">
      <c r="A43" s="29" t="str">
        <f>raw_data_category_performance!A42</f>
        <v>small_appliances_home_oven_and_coffee</v>
      </c>
      <c r="B43" s="30">
        <f>raw_data_category_performance!F42</f>
        <v>49245.9</v>
      </c>
      <c r="C43" s="30">
        <f>raw_data_category_performance!D42</f>
        <v>46589.56</v>
      </c>
      <c r="D43" s="30">
        <f>raw_data_category_performance!E42</f>
        <v>2656.34</v>
      </c>
      <c r="E43" s="31">
        <f>raw_data_category_performance!B42</f>
        <v>72</v>
      </c>
      <c r="F43" s="31">
        <f>raw_data_category_performance!C42</f>
        <v>73</v>
      </c>
      <c r="G43" s="30">
        <f>raw_data_category_performance!G42</f>
        <v>683.97</v>
      </c>
    </row>
    <row r="44" spans="1:7">
      <c r="A44" s="26" t="str">
        <f>raw_data_category_performance!A43</f>
        <v>construction_tools_lights</v>
      </c>
      <c r="B44" s="27">
        <f>raw_data_category_performance!F43</f>
        <v>47447.14</v>
      </c>
      <c r="C44" s="27">
        <f>raw_data_category_performance!D43</f>
        <v>39957</v>
      </c>
      <c r="D44" s="27">
        <f>raw_data_category_performance!E43</f>
        <v>7490.14</v>
      </c>
      <c r="E44" s="28">
        <f>raw_data_category_performance!B43</f>
        <v>242</v>
      </c>
      <c r="F44" s="28">
        <f>raw_data_category_performance!C43</f>
        <v>301</v>
      </c>
      <c r="G44" s="27">
        <f>raw_data_category_performance!G43</f>
        <v>196.06</v>
      </c>
    </row>
    <row r="45" spans="1:7">
      <c r="A45" s="29" t="str">
        <f>raw_data_category_performance!A44</f>
        <v>industry_commerce_and_business</v>
      </c>
      <c r="B45" s="30">
        <f>raw_data_category_performance!F44</f>
        <v>46079.34</v>
      </c>
      <c r="C45" s="30">
        <f>raw_data_category_performance!D44</f>
        <v>38498.81</v>
      </c>
      <c r="D45" s="30">
        <f>raw_data_category_performance!E44</f>
        <v>7580.53</v>
      </c>
      <c r="E45" s="31">
        <f>raw_data_category_performance!B44</f>
        <v>232</v>
      </c>
      <c r="F45" s="31">
        <f>raw_data_category_performance!C44</f>
        <v>265</v>
      </c>
      <c r="G45" s="30">
        <f>raw_data_category_performance!G44</f>
        <v>198.62</v>
      </c>
    </row>
    <row r="46" spans="1:7">
      <c r="A46" s="26" t="str">
        <f>raw_data_category_performance!A45</f>
        <v>construction_tools_safety</v>
      </c>
      <c r="B46" s="27">
        <f>raw_data_category_performance!F45</f>
        <v>42504.02</v>
      </c>
      <c r="C46" s="27">
        <f>raw_data_category_performance!D45</f>
        <v>38773.22</v>
      </c>
      <c r="D46" s="27">
        <f>raw_data_category_performance!E45</f>
        <v>3730.8</v>
      </c>
      <c r="E46" s="28">
        <f>raw_data_category_performance!B45</f>
        <v>159</v>
      </c>
      <c r="F46" s="28">
        <f>raw_data_category_performance!C45</f>
        <v>183</v>
      </c>
      <c r="G46" s="27">
        <f>raw_data_category_performance!G45</f>
        <v>267.32</v>
      </c>
    </row>
    <row r="47" spans="1:7">
      <c r="A47" s="29" t="str">
        <f>raw_data_category_performance!A46</f>
        <v>food</v>
      </c>
      <c r="B47" s="30">
        <f>raw_data_category_performance!F46</f>
        <v>35794.68</v>
      </c>
      <c r="C47" s="30">
        <f>raw_data_category_performance!D46</f>
        <v>28731.15</v>
      </c>
      <c r="D47" s="30">
        <f>raw_data_category_performance!E46</f>
        <v>7063.53</v>
      </c>
      <c r="E47" s="31">
        <f>raw_data_category_performance!B46</f>
        <v>441</v>
      </c>
      <c r="F47" s="31">
        <f>raw_data_category_performance!C46</f>
        <v>499</v>
      </c>
      <c r="G47" s="30">
        <f>raw_data_category_performance!G46</f>
        <v>81.17</v>
      </c>
    </row>
    <row r="48" spans="1:7">
      <c r="A48" s="26" t="str">
        <f>raw_data_category_performance!A47</f>
        <v>market_place</v>
      </c>
      <c r="B48" s="27">
        <f>raw_data_category_performance!F47</f>
        <v>33114.379999999997</v>
      </c>
      <c r="C48" s="27">
        <f>raw_data_category_performance!D47</f>
        <v>27795.77</v>
      </c>
      <c r="D48" s="27">
        <f>raw_data_category_performance!E47</f>
        <v>5318.61</v>
      </c>
      <c r="E48" s="28">
        <f>raw_data_category_performance!B47</f>
        <v>274</v>
      </c>
      <c r="F48" s="28">
        <f>raw_data_category_performance!C47</f>
        <v>305</v>
      </c>
      <c r="G48" s="27">
        <f>raw_data_category_performance!G47</f>
        <v>120.86</v>
      </c>
    </row>
    <row r="49" spans="1:7">
      <c r="A49" s="29" t="str">
        <f>raw_data_category_performance!A48</f>
        <v>costruction_tools_garden</v>
      </c>
      <c r="B49" s="30">
        <f>raw_data_category_performance!F48</f>
        <v>30283.94</v>
      </c>
      <c r="C49" s="30">
        <f>raw_data_category_performance!D48</f>
        <v>25096.28</v>
      </c>
      <c r="D49" s="30">
        <f>raw_data_category_performance!E48</f>
        <v>5187.66</v>
      </c>
      <c r="E49" s="31">
        <f>raw_data_category_performance!B48</f>
        <v>190</v>
      </c>
      <c r="F49" s="31">
        <f>raw_data_category_performance!C48</f>
        <v>232</v>
      </c>
      <c r="G49" s="30">
        <f>raw_data_category_performance!G48</f>
        <v>159.38999999999999</v>
      </c>
    </row>
    <row r="50" spans="1:7">
      <c r="A50" s="26" t="str">
        <f>raw_data_category_performance!A49</f>
        <v>fashion_shoes</v>
      </c>
      <c r="B50" s="27">
        <f>raw_data_category_performance!F49</f>
        <v>27814.83</v>
      </c>
      <c r="C50" s="27">
        <f>raw_data_category_performance!D49</f>
        <v>23001.46</v>
      </c>
      <c r="D50" s="27">
        <f>raw_data_category_performance!E49</f>
        <v>4813.37</v>
      </c>
      <c r="E50" s="28">
        <f>raw_data_category_performance!B49</f>
        <v>235</v>
      </c>
      <c r="F50" s="28">
        <f>raw_data_category_performance!C49</f>
        <v>257</v>
      </c>
      <c r="G50" s="27">
        <f>raw_data_category_performance!G49</f>
        <v>118.36</v>
      </c>
    </row>
    <row r="51" spans="1:7">
      <c r="A51" s="29" t="str">
        <f>raw_data_category_performance!A50</f>
        <v>signaling_and_security</v>
      </c>
      <c r="B51" s="30">
        <f>raw_data_category_performance!F50</f>
        <v>27792.59</v>
      </c>
      <c r="C51" s="30">
        <f>raw_data_category_performance!D50</f>
        <v>21315.05</v>
      </c>
      <c r="D51" s="30">
        <f>raw_data_category_performance!E50</f>
        <v>6477.54</v>
      </c>
      <c r="E51" s="31">
        <f>raw_data_category_performance!B50</f>
        <v>138</v>
      </c>
      <c r="F51" s="31">
        <f>raw_data_category_performance!C50</f>
        <v>197</v>
      </c>
      <c r="G51" s="30">
        <f>raw_data_category_performance!G50</f>
        <v>201.4</v>
      </c>
    </row>
    <row r="52" spans="1:7">
      <c r="A52" s="26" t="str">
        <f>raw_data_category_performance!A51</f>
        <v>art</v>
      </c>
      <c r="B52" s="27">
        <f>raw_data_category_performance!F51</f>
        <v>27485.53</v>
      </c>
      <c r="C52" s="27">
        <f>raw_data_category_performance!D51</f>
        <v>23657.3</v>
      </c>
      <c r="D52" s="27">
        <f>raw_data_category_performance!E51</f>
        <v>3828.23</v>
      </c>
      <c r="E52" s="28">
        <f>raw_data_category_performance!B51</f>
        <v>195</v>
      </c>
      <c r="F52" s="28">
        <f>raw_data_category_performance!C51</f>
        <v>197</v>
      </c>
      <c r="G52" s="27">
        <f>raw_data_category_performance!G51</f>
        <v>140.94999999999999</v>
      </c>
    </row>
    <row r="53" spans="1:7">
      <c r="A53" s="29" t="str">
        <f>raw_data_category_performance!A52</f>
        <v>drinks</v>
      </c>
      <c r="B53" s="30">
        <f>raw_data_category_performance!F52</f>
        <v>26971.11</v>
      </c>
      <c r="C53" s="30">
        <f>raw_data_category_performance!D52</f>
        <v>21529.84</v>
      </c>
      <c r="D53" s="30">
        <f>raw_data_category_performance!E52</f>
        <v>5441.27</v>
      </c>
      <c r="E53" s="31">
        <f>raw_data_category_performance!B52</f>
        <v>287</v>
      </c>
      <c r="F53" s="31">
        <f>raw_data_category_performance!C52</f>
        <v>361</v>
      </c>
      <c r="G53" s="30">
        <f>raw_data_category_performance!G52</f>
        <v>93.98</v>
      </c>
    </row>
    <row r="54" spans="1:7">
      <c r="A54" s="26" t="str">
        <f>raw_data_category_performance!A53</f>
        <v>furniture_bedroom</v>
      </c>
      <c r="B54" s="27">
        <f>raw_data_category_performance!F53</f>
        <v>23379.22</v>
      </c>
      <c r="C54" s="27">
        <f>raw_data_category_performance!D53</f>
        <v>19051.8</v>
      </c>
      <c r="D54" s="27">
        <f>raw_data_category_performance!E53</f>
        <v>4327.42</v>
      </c>
      <c r="E54" s="28">
        <f>raw_data_category_performance!B53</f>
        <v>90</v>
      </c>
      <c r="F54" s="28">
        <f>raw_data_category_performance!C53</f>
        <v>103</v>
      </c>
      <c r="G54" s="27">
        <f>raw_data_category_performance!G53</f>
        <v>259.77</v>
      </c>
    </row>
    <row r="55" spans="1:7">
      <c r="A55" s="29" t="str">
        <f>raw_data_category_performance!A54</f>
        <v>books_technical</v>
      </c>
      <c r="B55" s="30">
        <f>raw_data_category_performance!F54</f>
        <v>22901.07</v>
      </c>
      <c r="C55" s="30">
        <f>raw_data_category_performance!D54</f>
        <v>18702.23</v>
      </c>
      <c r="D55" s="30">
        <f>raw_data_category_performance!E54</f>
        <v>4198.84</v>
      </c>
      <c r="E55" s="31">
        <f>raw_data_category_performance!B54</f>
        <v>256</v>
      </c>
      <c r="F55" s="31">
        <f>raw_data_category_performance!C54</f>
        <v>263</v>
      </c>
      <c r="G55" s="30">
        <f>raw_data_category_performance!G54</f>
        <v>89.46</v>
      </c>
    </row>
    <row r="56" spans="1:7">
      <c r="A56" s="26" t="str">
        <f>raw_data_category_performance!A55</f>
        <v>food_drink</v>
      </c>
      <c r="B56" s="27">
        <f>raw_data_category_performance!F55</f>
        <v>19337.77</v>
      </c>
      <c r="C56" s="27">
        <f>raw_data_category_performance!D55</f>
        <v>14942.88</v>
      </c>
      <c r="D56" s="27">
        <f>raw_data_category_performance!E55</f>
        <v>4394.8900000000003</v>
      </c>
      <c r="E56" s="28">
        <f>raw_data_category_performance!B55</f>
        <v>221</v>
      </c>
      <c r="F56" s="28">
        <f>raw_data_category_performance!C55</f>
        <v>269</v>
      </c>
      <c r="G56" s="27">
        <f>raw_data_category_performance!G55</f>
        <v>87.5</v>
      </c>
    </row>
    <row r="57" spans="1:7">
      <c r="A57" s="29" t="str">
        <f>raw_data_category_performance!A56</f>
        <v>costruction_tools_tools</v>
      </c>
      <c r="B57" s="30">
        <f>raw_data_category_performance!F56</f>
        <v>17934.169999999998</v>
      </c>
      <c r="C57" s="30">
        <f>raw_data_category_performance!D56</f>
        <v>15903.95</v>
      </c>
      <c r="D57" s="30">
        <f>raw_data_category_performance!E56</f>
        <v>2030.22</v>
      </c>
      <c r="E57" s="31">
        <f>raw_data_category_performance!B56</f>
        <v>97</v>
      </c>
      <c r="F57" s="31">
        <f>raw_data_category_performance!C56</f>
        <v>103</v>
      </c>
      <c r="G57" s="30">
        <f>raw_data_category_performance!G56</f>
        <v>184.89</v>
      </c>
    </row>
    <row r="58" spans="1:7">
      <c r="A58" s="26" t="str">
        <f>raw_data_category_performance!A57</f>
        <v>fashion_male_clothing</v>
      </c>
      <c r="B58" s="27">
        <f>raw_data_category_performance!F57</f>
        <v>12514.95</v>
      </c>
      <c r="C58" s="27">
        <f>raw_data_category_performance!D57</f>
        <v>10452.33</v>
      </c>
      <c r="D58" s="27">
        <f>raw_data_category_performance!E57</f>
        <v>2062.62</v>
      </c>
      <c r="E58" s="28">
        <f>raw_data_category_performance!B57</f>
        <v>106</v>
      </c>
      <c r="F58" s="28">
        <f>raw_data_category_performance!C57</f>
        <v>125</v>
      </c>
      <c r="G58" s="27">
        <f>raw_data_category_performance!G57</f>
        <v>118.07</v>
      </c>
    </row>
    <row r="59" spans="1:7">
      <c r="A59" s="29" t="str">
        <f>raw_data_category_performance!A58</f>
        <v>christmas_supplies</v>
      </c>
      <c r="B59" s="30">
        <f>raw_data_category_performance!F58</f>
        <v>11928.75</v>
      </c>
      <c r="C59" s="30">
        <f>raw_data_category_performance!D58</f>
        <v>8737.84</v>
      </c>
      <c r="D59" s="30">
        <f>raw_data_category_performance!E58</f>
        <v>3190.91</v>
      </c>
      <c r="E59" s="31">
        <f>raw_data_category_performance!B58</f>
        <v>125</v>
      </c>
      <c r="F59" s="31">
        <f>raw_data_category_performance!C58</f>
        <v>150</v>
      </c>
      <c r="G59" s="30">
        <f>raw_data_category_performance!G58</f>
        <v>95.43</v>
      </c>
    </row>
    <row r="60" spans="1:7">
      <c r="A60" s="26" t="str">
        <f>raw_data_category_performance!A59</f>
        <v>fashion_underwear_beach</v>
      </c>
      <c r="B60" s="27">
        <f>raw_data_category_performance!F59</f>
        <v>11160.02</v>
      </c>
      <c r="C60" s="27">
        <f>raw_data_category_performance!D59</f>
        <v>9305.9500000000007</v>
      </c>
      <c r="D60" s="27">
        <f>raw_data_category_performance!E59</f>
        <v>1854.07</v>
      </c>
      <c r="E60" s="28">
        <f>raw_data_category_performance!B59</f>
        <v>117</v>
      </c>
      <c r="F60" s="28">
        <f>raw_data_category_performance!C59</f>
        <v>127</v>
      </c>
      <c r="G60" s="27">
        <f>raw_data_category_performance!G59</f>
        <v>95.38</v>
      </c>
    </row>
    <row r="61" spans="1:7">
      <c r="A61" s="29" t="str">
        <f>raw_data_category_performance!A60</f>
        <v>tablets_printing_image</v>
      </c>
      <c r="B61" s="30">
        <f>raw_data_category_performance!F60</f>
        <v>8754.61</v>
      </c>
      <c r="C61" s="30">
        <f>raw_data_category_performance!D60</f>
        <v>7528.41</v>
      </c>
      <c r="D61" s="30">
        <f>raw_data_category_performance!E60</f>
        <v>1226.2</v>
      </c>
      <c r="E61" s="31">
        <f>raw_data_category_performance!B60</f>
        <v>79</v>
      </c>
      <c r="F61" s="31">
        <f>raw_data_category_performance!C60</f>
        <v>83</v>
      </c>
      <c r="G61" s="30">
        <f>raw_data_category_performance!G60</f>
        <v>110.82</v>
      </c>
    </row>
    <row r="62" spans="1:7">
      <c r="A62" s="26" t="str">
        <f>raw_data_category_performance!A61</f>
        <v>cine_photo</v>
      </c>
      <c r="B62" s="27">
        <f>raw_data_category_performance!F61</f>
        <v>7902.18</v>
      </c>
      <c r="C62" s="27">
        <f>raw_data_category_performance!D61</f>
        <v>6674.47</v>
      </c>
      <c r="D62" s="27">
        <f>raw_data_category_performance!E61</f>
        <v>1227.71</v>
      </c>
      <c r="E62" s="28">
        <f>raw_data_category_performance!B61</f>
        <v>63</v>
      </c>
      <c r="F62" s="28">
        <f>raw_data_category_performance!C61</f>
        <v>70</v>
      </c>
      <c r="G62" s="27">
        <f>raw_data_category_performance!G61</f>
        <v>125.43</v>
      </c>
    </row>
    <row r="63" spans="1:7">
      <c r="A63" s="29" t="str">
        <f>raw_data_category_performance!A62</f>
        <v>music</v>
      </c>
      <c r="B63" s="30">
        <f>raw_data_category_performance!F62</f>
        <v>6724.86</v>
      </c>
      <c r="C63" s="30">
        <f>raw_data_category_performance!D62</f>
        <v>6034.35</v>
      </c>
      <c r="D63" s="30">
        <f>raw_data_category_performance!E62</f>
        <v>690.51</v>
      </c>
      <c r="E63" s="31">
        <f>raw_data_category_performance!B62</f>
        <v>38</v>
      </c>
      <c r="F63" s="31">
        <f>raw_data_category_performance!C62</f>
        <v>38</v>
      </c>
      <c r="G63" s="30">
        <f>raw_data_category_performance!G62</f>
        <v>176.97</v>
      </c>
    </row>
    <row r="64" spans="1:7">
      <c r="A64" s="26" t="str">
        <f>raw_data_category_performance!A63</f>
        <v>furniture_mattress_and_upholstery</v>
      </c>
      <c r="B64" s="27">
        <f>raw_data_category_performance!F63</f>
        <v>5904.75</v>
      </c>
      <c r="C64" s="27">
        <f>raw_data_category_performance!D63</f>
        <v>4323.38</v>
      </c>
      <c r="D64" s="27">
        <f>raw_data_category_performance!E63</f>
        <v>1581.37</v>
      </c>
      <c r="E64" s="28">
        <f>raw_data_category_performance!B63</f>
        <v>37</v>
      </c>
      <c r="F64" s="28">
        <f>raw_data_category_performance!C63</f>
        <v>37</v>
      </c>
      <c r="G64" s="27">
        <f>raw_data_category_performance!G63</f>
        <v>159.59</v>
      </c>
    </row>
    <row r="65" spans="1:7">
      <c r="A65" s="29" t="str">
        <f>raw_data_category_performance!A64</f>
        <v>dvds_blu_ray</v>
      </c>
      <c r="B65" s="30">
        <f>raw_data_category_performance!F64</f>
        <v>5769.84</v>
      </c>
      <c r="C65" s="30">
        <f>raw_data_category_performance!D64</f>
        <v>4542.59</v>
      </c>
      <c r="D65" s="30">
        <f>raw_data_category_performance!E64</f>
        <v>1227.25</v>
      </c>
      <c r="E65" s="31">
        <f>raw_data_category_performance!B64</f>
        <v>56</v>
      </c>
      <c r="F65" s="31">
        <f>raw_data_category_performance!C64</f>
        <v>61</v>
      </c>
      <c r="G65" s="30">
        <f>raw_data_category_performance!G64</f>
        <v>103.03</v>
      </c>
    </row>
    <row r="66" spans="1:7">
      <c r="A66" s="26" t="str">
        <f>raw_data_category_performance!A65</f>
        <v>party_supplies</v>
      </c>
      <c r="B66" s="27">
        <f>raw_data_category_performance!F65</f>
        <v>5285.38</v>
      </c>
      <c r="C66" s="27">
        <f>raw_data_category_performance!D65</f>
        <v>4465.1899999999996</v>
      </c>
      <c r="D66" s="27">
        <f>raw_data_category_performance!E65</f>
        <v>820.19</v>
      </c>
      <c r="E66" s="28">
        <f>raw_data_category_performance!B65</f>
        <v>38</v>
      </c>
      <c r="F66" s="28">
        <f>raw_data_category_performance!C65</f>
        <v>42</v>
      </c>
      <c r="G66" s="27">
        <f>raw_data_category_performance!G65</f>
        <v>139.09</v>
      </c>
    </row>
    <row r="67" spans="1:7">
      <c r="A67" s="29" t="str">
        <f>raw_data_category_performance!A66</f>
        <v>books_imported</v>
      </c>
      <c r="B67" s="30">
        <f>raw_data_category_performance!F66</f>
        <v>5150.9399999999996</v>
      </c>
      <c r="C67" s="30">
        <f>raw_data_category_performance!D66</f>
        <v>4418.8599999999997</v>
      </c>
      <c r="D67" s="30">
        <f>raw_data_category_performance!E66</f>
        <v>732.08</v>
      </c>
      <c r="E67" s="31">
        <f>raw_data_category_performance!B66</f>
        <v>50</v>
      </c>
      <c r="F67" s="31">
        <f>raw_data_category_performance!C66</f>
        <v>57</v>
      </c>
      <c r="G67" s="30">
        <f>raw_data_category_performance!G66</f>
        <v>103.02</v>
      </c>
    </row>
    <row r="68" spans="1:7">
      <c r="A68" s="26" t="str">
        <f>raw_data_category_performance!A67</f>
        <v>portateis_cozinha_e_preparadores_de_alimentos</v>
      </c>
      <c r="B68" s="27">
        <f>raw_data_category_performance!F67</f>
        <v>4228.05</v>
      </c>
      <c r="C68" s="27">
        <f>raw_data_category_performance!D67</f>
        <v>3933.63</v>
      </c>
      <c r="D68" s="27">
        <f>raw_data_category_performance!E67</f>
        <v>294.42</v>
      </c>
      <c r="E68" s="28">
        <f>raw_data_category_performance!B67</f>
        <v>13</v>
      </c>
      <c r="F68" s="28">
        <f>raw_data_category_performance!C67</f>
        <v>14</v>
      </c>
      <c r="G68" s="27">
        <f>raw_data_category_performance!G67</f>
        <v>325.23</v>
      </c>
    </row>
    <row r="69" spans="1:7">
      <c r="A69" s="29" t="str">
        <f>raw_data_category_performance!A68</f>
        <v>fashio_female_clothing</v>
      </c>
      <c r="B69" s="30">
        <f>raw_data_category_performance!F68</f>
        <v>3218.44</v>
      </c>
      <c r="C69" s="30">
        <f>raw_data_category_performance!D68</f>
        <v>2634.94</v>
      </c>
      <c r="D69" s="30">
        <f>raw_data_category_performance!E68</f>
        <v>583.5</v>
      </c>
      <c r="E69" s="31">
        <f>raw_data_category_performance!B68</f>
        <v>36</v>
      </c>
      <c r="F69" s="31">
        <f>raw_data_category_performance!C68</f>
        <v>45</v>
      </c>
      <c r="G69" s="30">
        <f>raw_data_category_performance!G68</f>
        <v>89.4</v>
      </c>
    </row>
    <row r="70" spans="1:7">
      <c r="A70" s="26" t="str">
        <f>raw_data_category_performance!A69</f>
        <v>fashion_sport</v>
      </c>
      <c r="B70" s="27">
        <f>raw_data_category_performance!F69</f>
        <v>2657.55</v>
      </c>
      <c r="C70" s="27">
        <f>raw_data_category_performance!D69</f>
        <v>2094.52</v>
      </c>
      <c r="D70" s="27">
        <f>raw_data_category_performance!E69</f>
        <v>563.03</v>
      </c>
      <c r="E70" s="28">
        <f>raw_data_category_performance!B69</f>
        <v>26</v>
      </c>
      <c r="F70" s="28">
        <f>raw_data_category_performance!C69</f>
        <v>29</v>
      </c>
      <c r="G70" s="27">
        <f>raw_data_category_performance!G69</f>
        <v>102.21</v>
      </c>
    </row>
    <row r="71" spans="1:7">
      <c r="A71" s="29" t="str">
        <f>raw_data_category_performance!A70</f>
        <v>la_cuisine</v>
      </c>
      <c r="B71" s="30">
        <f>raw_data_category_performance!F70</f>
        <v>2388.54</v>
      </c>
      <c r="C71" s="30">
        <f>raw_data_category_performance!D70</f>
        <v>2054.9899999999998</v>
      </c>
      <c r="D71" s="30">
        <f>raw_data_category_performance!E70</f>
        <v>333.55</v>
      </c>
      <c r="E71" s="31">
        <f>raw_data_category_performance!B70</f>
        <v>13</v>
      </c>
      <c r="F71" s="31">
        <f>raw_data_category_performance!C70</f>
        <v>14</v>
      </c>
      <c r="G71" s="30">
        <f>raw_data_category_performance!G70</f>
        <v>183.73</v>
      </c>
    </row>
    <row r="72" spans="1:7">
      <c r="A72" s="26" t="str">
        <f>raw_data_category_performance!A71</f>
        <v>arts_and_craftmanship</v>
      </c>
      <c r="B72" s="27">
        <f>raw_data_category_performance!F71</f>
        <v>2184.14</v>
      </c>
      <c r="C72" s="27">
        <f>raw_data_category_performance!D71</f>
        <v>1814.01</v>
      </c>
      <c r="D72" s="27">
        <f>raw_data_category_performance!E71</f>
        <v>370.13</v>
      </c>
      <c r="E72" s="28">
        <f>raw_data_category_performance!B71</f>
        <v>23</v>
      </c>
      <c r="F72" s="28">
        <f>raw_data_category_performance!C71</f>
        <v>24</v>
      </c>
      <c r="G72" s="27">
        <f>raw_data_category_performance!G71</f>
        <v>94.96</v>
      </c>
    </row>
    <row r="73" spans="1:7">
      <c r="A73" s="29" t="str">
        <f>raw_data_category_performance!A72</f>
        <v>diapers_and_hygiene</v>
      </c>
      <c r="B73" s="30">
        <f>raw_data_category_performance!F72</f>
        <v>2046.19</v>
      </c>
      <c r="C73" s="30">
        <f>raw_data_category_performance!D72</f>
        <v>1500.79</v>
      </c>
      <c r="D73" s="30">
        <f>raw_data_category_performance!E72</f>
        <v>545.4</v>
      </c>
      <c r="E73" s="31">
        <f>raw_data_category_performance!B72</f>
        <v>25</v>
      </c>
      <c r="F73" s="31">
        <f>raw_data_category_performance!C72</f>
        <v>37</v>
      </c>
      <c r="G73" s="30">
        <f>raw_data_category_performance!G72</f>
        <v>81.849999999999994</v>
      </c>
    </row>
    <row r="74" spans="1:7">
      <c r="A74" s="26" t="str">
        <f>raw_data_category_performance!A73</f>
        <v>flowers</v>
      </c>
      <c r="B74" s="27">
        <f>raw_data_category_performance!F73</f>
        <v>1598.91</v>
      </c>
      <c r="C74" s="27">
        <f>raw_data_category_performance!D73</f>
        <v>1110.04</v>
      </c>
      <c r="D74" s="27">
        <f>raw_data_category_performance!E73</f>
        <v>488.87</v>
      </c>
      <c r="E74" s="28">
        <f>raw_data_category_performance!B73</f>
        <v>29</v>
      </c>
      <c r="F74" s="28">
        <f>raw_data_category_performance!C73</f>
        <v>33</v>
      </c>
      <c r="G74" s="27">
        <f>raw_data_category_performance!G73</f>
        <v>55.13</v>
      </c>
    </row>
    <row r="75" spans="1:7">
      <c r="A75" s="29" t="str">
        <f>raw_data_category_performance!A74</f>
        <v>pc_gamer</v>
      </c>
      <c r="B75" s="30">
        <f>raw_data_category_performance!F74</f>
        <v>1430.1</v>
      </c>
      <c r="C75" s="30">
        <f>raw_data_category_performance!D74</f>
        <v>1306.95</v>
      </c>
      <c r="D75" s="30">
        <f>raw_data_category_performance!E74</f>
        <v>123.15</v>
      </c>
      <c r="E75" s="31">
        <f>raw_data_category_performance!B74</f>
        <v>7</v>
      </c>
      <c r="F75" s="31">
        <f>raw_data_category_performance!C74</f>
        <v>8</v>
      </c>
      <c r="G75" s="30">
        <f>raw_data_category_performance!G74</f>
        <v>204.3</v>
      </c>
    </row>
    <row r="76" spans="1:7">
      <c r="A76" s="26" t="str">
        <f>raw_data_category_performance!A75</f>
        <v>home_comfort_2</v>
      </c>
      <c r="B76" s="27">
        <f>raw_data_category_performance!F75</f>
        <v>1170.58</v>
      </c>
      <c r="C76" s="27">
        <f>raw_data_category_performance!D75</f>
        <v>760.27</v>
      </c>
      <c r="D76" s="27">
        <f>raw_data_category_performance!E75</f>
        <v>410.31</v>
      </c>
      <c r="E76" s="28">
        <f>raw_data_category_performance!B75</f>
        <v>24</v>
      </c>
      <c r="F76" s="28">
        <f>raw_data_category_performance!C75</f>
        <v>30</v>
      </c>
      <c r="G76" s="27">
        <f>raw_data_category_performance!G75</f>
        <v>48.77</v>
      </c>
    </row>
    <row r="77" spans="1:7">
      <c r="A77" s="29" t="str">
        <f>raw_data_category_performance!A76</f>
        <v>cds_dvds_musicals</v>
      </c>
      <c r="B77" s="30">
        <f>raw_data_category_performance!F76</f>
        <v>954.99</v>
      </c>
      <c r="C77" s="30">
        <f>raw_data_category_performance!D76</f>
        <v>730</v>
      </c>
      <c r="D77" s="30">
        <f>raw_data_category_performance!E76</f>
        <v>224.99</v>
      </c>
      <c r="E77" s="31">
        <f>raw_data_category_performance!B76</f>
        <v>12</v>
      </c>
      <c r="F77" s="31">
        <f>raw_data_category_performance!C76</f>
        <v>14</v>
      </c>
      <c r="G77" s="30">
        <f>raw_data_category_performance!G76</f>
        <v>79.58</v>
      </c>
    </row>
    <row r="78" spans="1:7">
      <c r="A78" s="26" t="str">
        <f>raw_data_category_performance!A77</f>
        <v>fashion_childrens_clothes</v>
      </c>
      <c r="B78" s="27">
        <f>raw_data_category_performance!F77</f>
        <v>598.66999999999996</v>
      </c>
      <c r="C78" s="27">
        <f>raw_data_category_performance!D77</f>
        <v>519.95000000000005</v>
      </c>
      <c r="D78" s="27">
        <f>raw_data_category_performance!E77</f>
        <v>78.72</v>
      </c>
      <c r="E78" s="28">
        <f>raw_data_category_performance!B77</f>
        <v>7</v>
      </c>
      <c r="F78" s="28">
        <f>raw_data_category_performance!C77</f>
        <v>7</v>
      </c>
      <c r="G78" s="27">
        <f>raw_data_category_performance!G77</f>
        <v>85.52</v>
      </c>
    </row>
    <row r="79" spans="1:7">
      <c r="A79" s="29" t="str">
        <f>raw_data_category_performance!A78</f>
        <v>security_and_services</v>
      </c>
      <c r="B79" s="30">
        <f>raw_data_category_performance!F78</f>
        <v>324.51</v>
      </c>
      <c r="C79" s="30">
        <f>raw_data_category_performance!D78</f>
        <v>283.29000000000002</v>
      </c>
      <c r="D79" s="30">
        <f>raw_data_category_performance!E78</f>
        <v>41.22</v>
      </c>
      <c r="E79" s="31">
        <f>raw_data_category_performance!B78</f>
        <v>2</v>
      </c>
      <c r="F79" s="31">
        <f>raw_data_category_performance!C78</f>
        <v>2</v>
      </c>
      <c r="G79" s="30">
        <f>raw_data_category_performance!G78</f>
        <v>162.26</v>
      </c>
    </row>
    <row r="80" spans="1:7">
      <c r="A80" s="23" t="s">
        <v>57</v>
      </c>
      <c r="B80" s="24">
        <f>SUM(B6:B79)</f>
        <v>15419773.749999993</v>
      </c>
      <c r="C80" s="24">
        <f>SUM(C6:C79)</f>
        <v>13221498.110000001</v>
      </c>
      <c r="D80" s="24">
        <f>SUM(D6:D79)</f>
        <v>2198275.6400000006</v>
      </c>
      <c r="E80" s="25">
        <f>SUM(E6:E79)</f>
        <v>97276</v>
      </c>
      <c r="F80" s="25">
        <f>SUM(F6:F79)</f>
        <v>110197</v>
      </c>
      <c r="G80" s="24">
        <f>AVERAGE(G6:G79)</f>
        <v>187.04364864864857</v>
      </c>
    </row>
    <row r="82" spans="1:7">
      <c r="A82" s="54" t="s">
        <v>65</v>
      </c>
      <c r="B82" s="54"/>
      <c r="C82" s="54"/>
      <c r="D82" s="54"/>
      <c r="E82" s="54"/>
      <c r="F82" s="54"/>
      <c r="G82" s="54"/>
    </row>
    <row r="83" spans="1:7">
      <c r="A83" s="54" t="s">
        <v>66</v>
      </c>
      <c r="B83" s="54"/>
      <c r="C83" s="54"/>
      <c r="D83" s="54"/>
      <c r="E83" s="54"/>
      <c r="F83" s="54"/>
      <c r="G83" s="54"/>
    </row>
  </sheetData>
  <sheetProtection sheet="1" objects="1" scenarios="1"/>
  <mergeCells count="2">
    <mergeCell ref="A82:G82"/>
    <mergeCell ref="A83:G83"/>
  </mergeCells>
  <conditionalFormatting sqref="B6:B79">
    <cfRule type="colorScale" priority="2">
      <colorScale>
        <cfvo type="min"/>
        <cfvo type="percentile" val="50"/>
        <cfvo type="max"/>
        <color rgb="FFF8CBAD"/>
        <color rgb="FFFFF2CC"/>
        <color rgb="FFC6E0B4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showGridLines="0" topLeftCell="A17" zoomScaleNormal="100" workbookViewId="0">
      <selection activeCell="A30" sqref="A30:I30"/>
    </sheetView>
  </sheetViews>
  <sheetFormatPr defaultColWidth="8.7109375" defaultRowHeight="15"/>
  <cols>
    <col min="1" max="1" width="13" customWidth="1"/>
    <col min="2" max="3" width="16" customWidth="1"/>
    <col min="4" max="4" width="13" customWidth="1"/>
    <col min="5" max="5" width="14" customWidth="1"/>
    <col min="6" max="7" width="12" customWidth="1"/>
    <col min="8" max="8" width="13" customWidth="1"/>
    <col min="9" max="9" width="12" customWidth="1"/>
  </cols>
  <sheetData>
    <row r="1" spans="1:9" ht="19.7">
      <c r="A1" s="16" t="s">
        <v>67</v>
      </c>
    </row>
    <row r="2" spans="1:9">
      <c r="A2" s="2" t="s">
        <v>68</v>
      </c>
    </row>
    <row r="3" spans="1:9">
      <c r="A3" s="9" t="s">
        <v>69</v>
      </c>
    </row>
    <row r="5" spans="1:9" ht="27.75" customHeight="1">
      <c r="A5" s="4" t="s">
        <v>51</v>
      </c>
      <c r="B5" s="4" t="s">
        <v>53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74</v>
      </c>
      <c r="H5" s="4" t="s">
        <v>75</v>
      </c>
      <c r="I5" s="4" t="s">
        <v>76</v>
      </c>
    </row>
    <row r="6" spans="1:9">
      <c r="A6" s="32">
        <f>raw_data_delivery_performance!A5</f>
        <v>42614</v>
      </c>
      <c r="B6" s="28">
        <f>raw_data_delivery_performance!B5</f>
        <v>1</v>
      </c>
      <c r="C6" s="33">
        <f>raw_data_delivery_performance!C5</f>
        <v>54.81</v>
      </c>
      <c r="D6" s="28">
        <f>raw_data_delivery_performance!F5</f>
        <v>0</v>
      </c>
      <c r="E6" s="28">
        <f>raw_data_delivery_performance!G5</f>
        <v>0</v>
      </c>
      <c r="F6" s="28">
        <f>raw_data_delivery_performance!H5</f>
        <v>1</v>
      </c>
      <c r="G6" s="34">
        <f>raw_data_delivery_performance!I5/100</f>
        <v>0</v>
      </c>
      <c r="H6" s="34">
        <f>raw_data_delivery_performance!J5/100</f>
        <v>0</v>
      </c>
      <c r="I6" s="34">
        <f>raw_data_delivery_performance!K5/100</f>
        <v>1</v>
      </c>
    </row>
    <row r="7" spans="1:9">
      <c r="A7" s="35">
        <f>raw_data_delivery_performance!A6</f>
        <v>42644</v>
      </c>
      <c r="B7" s="31">
        <f>raw_data_delivery_performance!B6</f>
        <v>265</v>
      </c>
      <c r="C7" s="36">
        <f>raw_data_delivery_performance!C6</f>
        <v>19.600000000000001</v>
      </c>
      <c r="D7" s="31">
        <f>raw_data_delivery_performance!F6</f>
        <v>262</v>
      </c>
      <c r="E7" s="31">
        <f>raw_data_delivery_performance!G6</f>
        <v>1</v>
      </c>
      <c r="F7" s="31">
        <f>raw_data_delivery_performance!H6</f>
        <v>2</v>
      </c>
      <c r="G7" s="37">
        <f>raw_data_delivery_performance!I6/100</f>
        <v>0.98870000000000002</v>
      </c>
      <c r="H7" s="37">
        <f>raw_data_delivery_performance!J6/100</f>
        <v>3.8E-3</v>
      </c>
      <c r="I7" s="37">
        <f>raw_data_delivery_performance!K6/100</f>
        <v>7.4999999999999997E-3</v>
      </c>
    </row>
    <row r="8" spans="1:9">
      <c r="A8" s="32">
        <f>raw_data_delivery_performance!A7</f>
        <v>42705</v>
      </c>
      <c r="B8" s="28">
        <f>raw_data_delivery_performance!B7</f>
        <v>1</v>
      </c>
      <c r="C8" s="33">
        <f>raw_data_delivery_performance!C7</f>
        <v>4.6900000000000004</v>
      </c>
      <c r="D8" s="28">
        <f>raw_data_delivery_performance!F7</f>
        <v>1</v>
      </c>
      <c r="E8" s="28">
        <f>raw_data_delivery_performance!G7</f>
        <v>0</v>
      </c>
      <c r="F8" s="28">
        <f>raw_data_delivery_performance!H7</f>
        <v>0</v>
      </c>
      <c r="G8" s="34">
        <f>raw_data_delivery_performance!I7/100</f>
        <v>1</v>
      </c>
      <c r="H8" s="34">
        <f>raw_data_delivery_performance!J7/100</f>
        <v>0</v>
      </c>
      <c r="I8" s="34">
        <f>raw_data_delivery_performance!K7/100</f>
        <v>0</v>
      </c>
    </row>
    <row r="9" spans="1:9">
      <c r="A9" s="35">
        <f>raw_data_delivery_performance!A8</f>
        <v>42736</v>
      </c>
      <c r="B9" s="31">
        <f>raw_data_delivery_performance!B8</f>
        <v>750</v>
      </c>
      <c r="C9" s="36">
        <f>raw_data_delivery_performance!C8</f>
        <v>12.65</v>
      </c>
      <c r="D9" s="31">
        <f>raw_data_delivery_performance!F8</f>
        <v>727</v>
      </c>
      <c r="E9" s="31">
        <f>raw_data_delivery_performance!G8</f>
        <v>1</v>
      </c>
      <c r="F9" s="31">
        <f>raw_data_delivery_performance!H8</f>
        <v>22</v>
      </c>
      <c r="G9" s="37">
        <f>raw_data_delivery_performance!I8/100</f>
        <v>0.96930000000000005</v>
      </c>
      <c r="H9" s="37">
        <f>raw_data_delivery_performance!J8/100</f>
        <v>1.2999999999999999E-3</v>
      </c>
      <c r="I9" s="37">
        <f>raw_data_delivery_performance!K8/100</f>
        <v>2.9300000000000003E-2</v>
      </c>
    </row>
    <row r="10" spans="1:9">
      <c r="A10" s="32">
        <f>raw_data_delivery_performance!A9</f>
        <v>42767</v>
      </c>
      <c r="B10" s="28">
        <f>raw_data_delivery_performance!B9</f>
        <v>1653</v>
      </c>
      <c r="C10" s="33">
        <f>raw_data_delivery_performance!C9</f>
        <v>13.17</v>
      </c>
      <c r="D10" s="28">
        <f>raw_data_delivery_performance!F9</f>
        <v>1600</v>
      </c>
      <c r="E10" s="28">
        <f>raw_data_delivery_performance!G9</f>
        <v>4</v>
      </c>
      <c r="F10" s="28">
        <f>raw_data_delivery_performance!H9</f>
        <v>49</v>
      </c>
      <c r="G10" s="34">
        <f>raw_data_delivery_performance!I9/100</f>
        <v>0.96790000000000009</v>
      </c>
      <c r="H10" s="34">
        <f>raw_data_delivery_performance!J9/100</f>
        <v>2.3999999999999998E-3</v>
      </c>
      <c r="I10" s="34">
        <f>raw_data_delivery_performance!K9/100</f>
        <v>2.9600000000000001E-2</v>
      </c>
    </row>
    <row r="11" spans="1:9">
      <c r="A11" s="35">
        <f>raw_data_delivery_performance!A10</f>
        <v>42795</v>
      </c>
      <c r="B11" s="31">
        <f>raw_data_delivery_performance!B10</f>
        <v>2546</v>
      </c>
      <c r="C11" s="36">
        <f>raw_data_delivery_performance!C10</f>
        <v>12.95</v>
      </c>
      <c r="D11" s="31">
        <f>raw_data_delivery_performance!F10</f>
        <v>2404</v>
      </c>
      <c r="E11" s="31">
        <f>raw_data_delivery_performance!G10</f>
        <v>26</v>
      </c>
      <c r="F11" s="31">
        <f>raw_data_delivery_performance!H10</f>
        <v>116</v>
      </c>
      <c r="G11" s="37">
        <f>raw_data_delivery_performance!I10/100</f>
        <v>0.94420000000000004</v>
      </c>
      <c r="H11" s="37">
        <f>raw_data_delivery_performance!J10/100</f>
        <v>1.0200000000000001E-2</v>
      </c>
      <c r="I11" s="37">
        <f>raw_data_delivery_performance!K10/100</f>
        <v>4.5599999999999995E-2</v>
      </c>
    </row>
    <row r="12" spans="1:9">
      <c r="A12" s="32">
        <f>raw_data_delivery_performance!A11</f>
        <v>42826</v>
      </c>
      <c r="B12" s="28">
        <f>raw_data_delivery_performance!B11</f>
        <v>2303</v>
      </c>
      <c r="C12" s="33">
        <f>raw_data_delivery_performance!C11</f>
        <v>14.92</v>
      </c>
      <c r="D12" s="28">
        <f>raw_data_delivery_performance!F11</f>
        <v>2122</v>
      </c>
      <c r="E12" s="28">
        <f>raw_data_delivery_performance!G11</f>
        <v>30</v>
      </c>
      <c r="F12" s="28">
        <f>raw_data_delivery_performance!H11</f>
        <v>151</v>
      </c>
      <c r="G12" s="34">
        <f>raw_data_delivery_performance!I11/100</f>
        <v>0.9214</v>
      </c>
      <c r="H12" s="34">
        <f>raw_data_delivery_performance!J11/100</f>
        <v>1.3000000000000001E-2</v>
      </c>
      <c r="I12" s="34">
        <f>raw_data_delivery_performance!K11/100</f>
        <v>6.5599999999999992E-2</v>
      </c>
    </row>
    <row r="13" spans="1:9">
      <c r="A13" s="35">
        <f>raw_data_delivery_performance!A12</f>
        <v>42856</v>
      </c>
      <c r="B13" s="31">
        <f>raw_data_delivery_performance!B12</f>
        <v>3545</v>
      </c>
      <c r="C13" s="36">
        <f>raw_data_delivery_performance!C12</f>
        <v>11.32</v>
      </c>
      <c r="D13" s="31">
        <f>raw_data_delivery_performance!F12</f>
        <v>3417</v>
      </c>
      <c r="E13" s="31">
        <f>raw_data_delivery_performance!G12</f>
        <v>22</v>
      </c>
      <c r="F13" s="31">
        <f>raw_data_delivery_performance!H12</f>
        <v>106</v>
      </c>
      <c r="G13" s="37">
        <f>raw_data_delivery_performance!I12/100</f>
        <v>0.96389999999999998</v>
      </c>
      <c r="H13" s="37">
        <f>raw_data_delivery_performance!J12/100</f>
        <v>6.1999999999999998E-3</v>
      </c>
      <c r="I13" s="37">
        <f>raw_data_delivery_performance!K12/100</f>
        <v>2.9900000000000003E-2</v>
      </c>
    </row>
    <row r="14" spans="1:9">
      <c r="A14" s="32">
        <f>raw_data_delivery_performance!A13</f>
        <v>42887</v>
      </c>
      <c r="B14" s="28">
        <f>raw_data_delivery_performance!B13</f>
        <v>3135</v>
      </c>
      <c r="C14" s="33">
        <f>raw_data_delivery_performance!C13</f>
        <v>12.01</v>
      </c>
      <c r="D14" s="28">
        <f>raw_data_delivery_performance!F13</f>
        <v>3014</v>
      </c>
      <c r="E14" s="28">
        <f>raw_data_delivery_performance!G13</f>
        <v>26</v>
      </c>
      <c r="F14" s="28">
        <f>raw_data_delivery_performance!H13</f>
        <v>95</v>
      </c>
      <c r="G14" s="34">
        <f>raw_data_delivery_performance!I13/100</f>
        <v>0.96140000000000003</v>
      </c>
      <c r="H14" s="34">
        <f>raw_data_delivery_performance!J13/100</f>
        <v>8.3000000000000001E-3</v>
      </c>
      <c r="I14" s="34">
        <f>raw_data_delivery_performance!K13/100</f>
        <v>3.0299999999999997E-2</v>
      </c>
    </row>
    <row r="15" spans="1:9">
      <c r="A15" s="35">
        <f>raw_data_delivery_performance!A14</f>
        <v>42917</v>
      </c>
      <c r="B15" s="31">
        <f>raw_data_delivery_performance!B14</f>
        <v>3872</v>
      </c>
      <c r="C15" s="36">
        <f>raw_data_delivery_performance!C14</f>
        <v>11.59</v>
      </c>
      <c r="D15" s="31">
        <f>raw_data_delivery_performance!F14</f>
        <v>3739</v>
      </c>
      <c r="E15" s="31">
        <f>raw_data_delivery_performance!G14</f>
        <v>25</v>
      </c>
      <c r="F15" s="31">
        <f>raw_data_delivery_performance!H14</f>
        <v>108</v>
      </c>
      <c r="G15" s="37">
        <f>raw_data_delivery_performance!I14/100</f>
        <v>0.96569999999999989</v>
      </c>
      <c r="H15" s="37">
        <f>raw_data_delivery_performance!J14/100</f>
        <v>6.5000000000000006E-3</v>
      </c>
      <c r="I15" s="37">
        <f>raw_data_delivery_performance!K14/100</f>
        <v>2.7900000000000001E-2</v>
      </c>
    </row>
    <row r="16" spans="1:9">
      <c r="A16" s="32">
        <f>raw_data_delivery_performance!A15</f>
        <v>42948</v>
      </c>
      <c r="B16" s="28">
        <f>raw_data_delivery_performance!B15</f>
        <v>4193</v>
      </c>
      <c r="C16" s="33">
        <f>raw_data_delivery_performance!C15</f>
        <v>11.15</v>
      </c>
      <c r="D16" s="28">
        <f>raw_data_delivery_performance!F15</f>
        <v>4054</v>
      </c>
      <c r="E16" s="28">
        <f>raw_data_delivery_performance!G15</f>
        <v>17</v>
      </c>
      <c r="F16" s="28">
        <f>raw_data_delivery_performance!H15</f>
        <v>122</v>
      </c>
      <c r="G16" s="34">
        <f>raw_data_delivery_performance!I15/100</f>
        <v>0.9668000000000001</v>
      </c>
      <c r="H16" s="34">
        <f>raw_data_delivery_performance!J15/100</f>
        <v>4.0999999999999995E-3</v>
      </c>
      <c r="I16" s="34">
        <f>raw_data_delivery_performance!K15/100</f>
        <v>2.9100000000000001E-2</v>
      </c>
    </row>
    <row r="17" spans="1:9">
      <c r="A17" s="35">
        <f>raw_data_delivery_performance!A16</f>
        <v>42979</v>
      </c>
      <c r="B17" s="31">
        <f>raw_data_delivery_performance!B16</f>
        <v>4150</v>
      </c>
      <c r="C17" s="36">
        <f>raw_data_delivery_performance!C16</f>
        <v>11.85</v>
      </c>
      <c r="D17" s="31">
        <f>raw_data_delivery_performance!F16</f>
        <v>3934</v>
      </c>
      <c r="E17" s="31">
        <f>raw_data_delivery_performance!G16</f>
        <v>34</v>
      </c>
      <c r="F17" s="31">
        <f>raw_data_delivery_performance!H16</f>
        <v>182</v>
      </c>
      <c r="G17" s="37">
        <f>raw_data_delivery_performance!I16/100</f>
        <v>0.94799999999999995</v>
      </c>
      <c r="H17" s="37">
        <f>raw_data_delivery_performance!J16/100</f>
        <v>8.199999999999999E-3</v>
      </c>
      <c r="I17" s="37">
        <f>raw_data_delivery_performance!K16/100</f>
        <v>4.3899999999999995E-2</v>
      </c>
    </row>
    <row r="18" spans="1:9">
      <c r="A18" s="32">
        <f>raw_data_delivery_performance!A17</f>
        <v>43009</v>
      </c>
      <c r="B18" s="28">
        <f>raw_data_delivery_performance!B17</f>
        <v>4478</v>
      </c>
      <c r="C18" s="33">
        <f>raw_data_delivery_performance!C17</f>
        <v>11.86</v>
      </c>
      <c r="D18" s="28">
        <f>raw_data_delivery_performance!F17</f>
        <v>4241</v>
      </c>
      <c r="E18" s="28">
        <f>raw_data_delivery_performance!G17</f>
        <v>50</v>
      </c>
      <c r="F18" s="28">
        <f>raw_data_delivery_performance!H17</f>
        <v>187</v>
      </c>
      <c r="G18" s="34">
        <f>raw_data_delivery_performance!I17/100</f>
        <v>0.94709999999999994</v>
      </c>
      <c r="H18" s="34">
        <f>raw_data_delivery_performance!J17/100</f>
        <v>1.1200000000000002E-2</v>
      </c>
      <c r="I18" s="34">
        <f>raw_data_delivery_performance!K17/100</f>
        <v>4.1799999999999997E-2</v>
      </c>
    </row>
    <row r="19" spans="1:9">
      <c r="A19" s="38">
        <f>raw_data_delivery_performance!A18</f>
        <v>43040</v>
      </c>
      <c r="B19" s="39">
        <f>raw_data_delivery_performance!B18</f>
        <v>7288</v>
      </c>
      <c r="C19" s="40">
        <f>raw_data_delivery_performance!C18</f>
        <v>15.16</v>
      </c>
      <c r="D19" s="39">
        <f>raw_data_delivery_performance!F18</f>
        <v>6245</v>
      </c>
      <c r="E19" s="39">
        <f>raw_data_delivery_performance!G18</f>
        <v>139</v>
      </c>
      <c r="F19" s="39">
        <f>raw_data_delivery_performance!H18</f>
        <v>904</v>
      </c>
      <c r="G19" s="41">
        <f>raw_data_delivery_performance!I18/100</f>
        <v>0.8569</v>
      </c>
      <c r="H19" s="41">
        <f>raw_data_delivery_performance!J18/100</f>
        <v>1.9099999999999999E-2</v>
      </c>
      <c r="I19" s="41">
        <f>raw_data_delivery_performance!K18/100</f>
        <v>0.124</v>
      </c>
    </row>
    <row r="20" spans="1:9">
      <c r="A20" s="38">
        <f>raw_data_delivery_performance!A19</f>
        <v>43070</v>
      </c>
      <c r="B20" s="39">
        <f>raw_data_delivery_performance!B19</f>
        <v>5513</v>
      </c>
      <c r="C20" s="40">
        <f>raw_data_delivery_performance!C19</f>
        <v>15.39</v>
      </c>
      <c r="D20" s="39">
        <f>raw_data_delivery_performance!F19</f>
        <v>5051</v>
      </c>
      <c r="E20" s="39">
        <f>raw_data_delivery_performance!G19</f>
        <v>51</v>
      </c>
      <c r="F20" s="39">
        <f>raw_data_delivery_performance!H19</f>
        <v>411</v>
      </c>
      <c r="G20" s="41">
        <f>raw_data_delivery_performance!I19/100</f>
        <v>0.91620000000000001</v>
      </c>
      <c r="H20" s="41">
        <f>raw_data_delivery_performance!J19/100</f>
        <v>9.300000000000001E-3</v>
      </c>
      <c r="I20" s="41">
        <f>raw_data_delivery_performance!K19/100</f>
        <v>7.46E-2</v>
      </c>
    </row>
    <row r="21" spans="1:9">
      <c r="A21" s="38">
        <f>raw_data_delivery_performance!A20</f>
        <v>43101</v>
      </c>
      <c r="B21" s="39">
        <f>raw_data_delivery_performance!B20</f>
        <v>7069</v>
      </c>
      <c r="C21" s="40">
        <f>raw_data_delivery_performance!C20</f>
        <v>14.08</v>
      </c>
      <c r="D21" s="39">
        <f>raw_data_delivery_performance!F20</f>
        <v>6605</v>
      </c>
      <c r="E21" s="39">
        <f>raw_data_delivery_performance!G20</f>
        <v>61</v>
      </c>
      <c r="F21" s="39">
        <f>raw_data_delivery_performance!H20</f>
        <v>403</v>
      </c>
      <c r="G21" s="41">
        <f>raw_data_delivery_performance!I20/100</f>
        <v>0.93440000000000001</v>
      </c>
      <c r="H21" s="41">
        <f>raw_data_delivery_performance!J20/100</f>
        <v>8.6E-3</v>
      </c>
      <c r="I21" s="41">
        <f>raw_data_delivery_performance!K20/100</f>
        <v>5.7000000000000002E-2</v>
      </c>
    </row>
    <row r="22" spans="1:9">
      <c r="A22" s="38">
        <f>raw_data_delivery_performance!A21</f>
        <v>43132</v>
      </c>
      <c r="B22" s="39">
        <f>raw_data_delivery_performance!B21</f>
        <v>6555</v>
      </c>
      <c r="C22" s="40">
        <f>raw_data_delivery_performance!C21</f>
        <v>16.95</v>
      </c>
      <c r="D22" s="39">
        <f>raw_data_delivery_performance!F21</f>
        <v>5507</v>
      </c>
      <c r="E22" s="39">
        <f>raw_data_delivery_performance!G21</f>
        <v>122</v>
      </c>
      <c r="F22" s="39">
        <f>raw_data_delivery_performance!H21</f>
        <v>926</v>
      </c>
      <c r="G22" s="41">
        <f>raw_data_delivery_performance!I21/100</f>
        <v>0.84010000000000007</v>
      </c>
      <c r="H22" s="41">
        <f>raw_data_delivery_performance!J21/100</f>
        <v>1.8600000000000002E-2</v>
      </c>
      <c r="I22" s="41">
        <f>raw_data_delivery_performance!K21/100</f>
        <v>0.14130000000000001</v>
      </c>
    </row>
    <row r="23" spans="1:9">
      <c r="A23" s="38">
        <f>raw_data_delivery_performance!A22</f>
        <v>43160</v>
      </c>
      <c r="B23" s="39">
        <f>raw_data_delivery_performance!B22</f>
        <v>7003</v>
      </c>
      <c r="C23" s="40">
        <f>raw_data_delivery_performance!C22</f>
        <v>16.3</v>
      </c>
      <c r="D23" s="39">
        <f>raw_data_delivery_performance!F22</f>
        <v>5507</v>
      </c>
      <c r="E23" s="39">
        <f>raw_data_delivery_performance!G22</f>
        <v>168</v>
      </c>
      <c r="F23" s="39">
        <f>raw_data_delivery_performance!H22</f>
        <v>1328</v>
      </c>
      <c r="G23" s="41">
        <f>raw_data_delivery_performance!I22/100</f>
        <v>0.78639999999999999</v>
      </c>
      <c r="H23" s="41">
        <f>raw_data_delivery_performance!J22/100</f>
        <v>2.4E-2</v>
      </c>
      <c r="I23" s="41">
        <f>raw_data_delivery_performance!K22/100</f>
        <v>0.18960000000000002</v>
      </c>
    </row>
    <row r="24" spans="1:9">
      <c r="A24" s="32">
        <f>raw_data_delivery_performance!A23</f>
        <v>43191</v>
      </c>
      <c r="B24" s="28">
        <f>raw_data_delivery_performance!B23</f>
        <v>6798</v>
      </c>
      <c r="C24" s="33">
        <f>raw_data_delivery_performance!C23</f>
        <v>11.5</v>
      </c>
      <c r="D24" s="28">
        <f>raw_data_delivery_performance!F23</f>
        <v>6437</v>
      </c>
      <c r="E24" s="28">
        <f>raw_data_delivery_performance!G23</f>
        <v>55</v>
      </c>
      <c r="F24" s="28">
        <f>raw_data_delivery_performance!H23</f>
        <v>306</v>
      </c>
      <c r="G24" s="34">
        <f>raw_data_delivery_performance!I23/100</f>
        <v>0.94689999999999996</v>
      </c>
      <c r="H24" s="34">
        <f>raw_data_delivery_performance!J23/100</f>
        <v>8.1000000000000013E-3</v>
      </c>
      <c r="I24" s="34">
        <f>raw_data_delivery_performance!K23/100</f>
        <v>4.4999999999999998E-2</v>
      </c>
    </row>
    <row r="25" spans="1:9">
      <c r="A25" s="35">
        <f>raw_data_delivery_performance!A24</f>
        <v>43221</v>
      </c>
      <c r="B25" s="31">
        <f>raw_data_delivery_performance!B24</f>
        <v>6749</v>
      </c>
      <c r="C25" s="36">
        <f>raw_data_delivery_performance!C24</f>
        <v>11.42</v>
      </c>
      <c r="D25" s="31">
        <f>raw_data_delivery_performance!F24</f>
        <v>6193</v>
      </c>
      <c r="E25" s="31">
        <f>raw_data_delivery_performance!G24</f>
        <v>113</v>
      </c>
      <c r="F25" s="31">
        <f>raw_data_delivery_performance!H24</f>
        <v>443</v>
      </c>
      <c r="G25" s="37">
        <f>raw_data_delivery_performance!I24/100</f>
        <v>0.91760000000000008</v>
      </c>
      <c r="H25" s="37">
        <f>raw_data_delivery_performance!J24/100</f>
        <v>1.67E-2</v>
      </c>
      <c r="I25" s="37">
        <f>raw_data_delivery_performance!K24/100</f>
        <v>6.5599999999999992E-2</v>
      </c>
    </row>
    <row r="26" spans="1:9">
      <c r="A26" s="32">
        <f>raw_data_delivery_performance!A25</f>
        <v>43252</v>
      </c>
      <c r="B26" s="28">
        <f>raw_data_delivery_performance!B25</f>
        <v>6096</v>
      </c>
      <c r="C26" s="33">
        <f>raw_data_delivery_performance!C25</f>
        <v>9.24</v>
      </c>
      <c r="D26" s="28">
        <f>raw_data_delivery_performance!F25</f>
        <v>6013</v>
      </c>
      <c r="E26" s="28">
        <f>raw_data_delivery_performance!G25</f>
        <v>12</v>
      </c>
      <c r="F26" s="28">
        <f>raw_data_delivery_performance!H25</f>
        <v>71</v>
      </c>
      <c r="G26" s="34">
        <f>raw_data_delivery_performance!I25/100</f>
        <v>0.98640000000000005</v>
      </c>
      <c r="H26" s="34">
        <f>raw_data_delivery_performance!J25/100</f>
        <v>2E-3</v>
      </c>
      <c r="I26" s="34">
        <f>raw_data_delivery_performance!K25/100</f>
        <v>1.1599999999999999E-2</v>
      </c>
    </row>
    <row r="27" spans="1:9">
      <c r="A27" s="35">
        <f>raw_data_delivery_performance!A26</f>
        <v>43282</v>
      </c>
      <c r="B27" s="31">
        <f>raw_data_delivery_performance!B26</f>
        <v>6156</v>
      </c>
      <c r="C27" s="36">
        <f>raw_data_delivery_performance!C26</f>
        <v>8.9600000000000009</v>
      </c>
      <c r="D27" s="31">
        <f>raw_data_delivery_performance!F26</f>
        <v>5880</v>
      </c>
      <c r="E27" s="31">
        <f>raw_data_delivery_performance!G26</f>
        <v>68</v>
      </c>
      <c r="F27" s="31">
        <f>raw_data_delivery_performance!H26</f>
        <v>208</v>
      </c>
      <c r="G27" s="37">
        <f>raw_data_delivery_performance!I26/100</f>
        <v>0.95519999999999994</v>
      </c>
      <c r="H27" s="37">
        <f>raw_data_delivery_performance!J26/100</f>
        <v>1.1000000000000001E-2</v>
      </c>
      <c r="I27" s="37">
        <f>raw_data_delivery_performance!K26/100</f>
        <v>3.3799999999999997E-2</v>
      </c>
    </row>
    <row r="28" spans="1:9">
      <c r="A28" s="32">
        <f>raw_data_delivery_performance!A27</f>
        <v>43313</v>
      </c>
      <c r="B28" s="28">
        <f>raw_data_delivery_performance!B27</f>
        <v>6351</v>
      </c>
      <c r="C28" s="33">
        <f>raw_data_delivery_performance!C27</f>
        <v>7.73</v>
      </c>
      <c r="D28" s="28">
        <f>raw_data_delivery_performance!F27</f>
        <v>5691</v>
      </c>
      <c r="E28" s="28">
        <f>raw_data_delivery_performance!G27</f>
        <v>267</v>
      </c>
      <c r="F28" s="28">
        <f>raw_data_delivery_performance!H27</f>
        <v>393</v>
      </c>
      <c r="G28" s="34">
        <f>raw_data_delivery_performance!I27/100</f>
        <v>0.89610000000000001</v>
      </c>
      <c r="H28" s="34">
        <f>raw_data_delivery_performance!J27/100</f>
        <v>4.2000000000000003E-2</v>
      </c>
      <c r="I28" s="34">
        <f>raw_data_delivery_performance!K27/100</f>
        <v>6.1900000000000004E-2</v>
      </c>
    </row>
    <row r="30" spans="1:9">
      <c r="A30" s="54" t="s">
        <v>77</v>
      </c>
      <c r="B30" s="54"/>
      <c r="C30" s="54"/>
      <c r="D30" s="54"/>
      <c r="E30" s="54"/>
      <c r="F30" s="54"/>
      <c r="G30" s="54"/>
      <c r="H30" s="54"/>
      <c r="I30" s="54"/>
    </row>
  </sheetData>
  <sheetProtection sheet="1" objects="1" scenarios="1"/>
  <mergeCells count="1">
    <mergeCell ref="A30:I30"/>
  </mergeCells>
  <conditionalFormatting sqref="I6:I28">
    <cfRule type="cellIs" dxfId="1" priority="2" operator="greaterThan">
      <formula>0.12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"/>
  <sheetViews>
    <sheetView showGridLines="0" topLeftCell="C5" zoomScaleNormal="100" workbookViewId="0">
      <selection activeCell="P28" sqref="P28"/>
    </sheetView>
  </sheetViews>
  <sheetFormatPr defaultColWidth="8.7109375" defaultRowHeight="15"/>
  <cols>
    <col min="1" max="1" width="14" customWidth="1"/>
    <col min="2" max="2" width="36.7109375" customWidth="1"/>
    <col min="3" max="3" width="16" customWidth="1"/>
    <col min="4" max="4" width="18" customWidth="1"/>
    <col min="5" max="5" width="16" customWidth="1"/>
    <col min="6" max="6" width="18" customWidth="1"/>
    <col min="7" max="7" width="16" customWidth="1"/>
    <col min="9" max="9" width="19.140625" bestFit="1" customWidth="1"/>
    <col min="10" max="10" width="21" bestFit="1" customWidth="1"/>
    <col min="11" max="11" width="16.5703125" bestFit="1" customWidth="1"/>
  </cols>
  <sheetData>
    <row r="1" spans="1:11" ht="27.75" customHeight="1">
      <c r="A1" s="16" t="s">
        <v>78</v>
      </c>
      <c r="I1" s="10" t="s">
        <v>79</v>
      </c>
      <c r="J1" s="10" t="s">
        <v>80</v>
      </c>
      <c r="K1" s="10" t="s">
        <v>42</v>
      </c>
    </row>
    <row r="2" spans="1:11" ht="17.45">
      <c r="A2" s="2" t="s">
        <v>81</v>
      </c>
      <c r="I2" s="42">
        <f>SUM(C6:C28)/SUM(B6:B28)</f>
        <v>3.0002784978255748E-2</v>
      </c>
      <c r="J2" s="43">
        <f>SUM(F6:F28)/SUM(B6:B28)</f>
        <v>165.16821000878338</v>
      </c>
      <c r="K2" s="43">
        <f>D32</f>
        <v>247007.06</v>
      </c>
    </row>
    <row r="3" spans="1:11">
      <c r="A3" s="9" t="s">
        <v>82</v>
      </c>
    </row>
    <row r="5" spans="1:11" ht="27.75" customHeight="1">
      <c r="A5" s="4" t="s">
        <v>83</v>
      </c>
      <c r="B5" s="4" t="s">
        <v>84</v>
      </c>
      <c r="C5" s="4" t="s">
        <v>85</v>
      </c>
      <c r="D5" s="4" t="s">
        <v>86</v>
      </c>
      <c r="E5" s="4" t="s">
        <v>87</v>
      </c>
      <c r="F5" s="4" t="s">
        <v>88</v>
      </c>
      <c r="G5" s="4" t="s">
        <v>89</v>
      </c>
    </row>
    <row r="6" spans="1:11">
      <c r="A6" s="32" t="str">
        <f>raw_data_customer_seller!A5</f>
        <v>2016-09-01</v>
      </c>
      <c r="B6" s="28">
        <f>raw_data_customer_seller!B5</f>
        <v>1</v>
      </c>
      <c r="C6" s="28">
        <f>raw_data_customer_seller!C5</f>
        <v>0</v>
      </c>
      <c r="D6" s="33">
        <f>raw_data_customer_seller!D5</f>
        <v>1</v>
      </c>
      <c r="E6" s="27">
        <f>raw_data_customer_seller!E5</f>
        <v>143.46</v>
      </c>
      <c r="F6" s="27">
        <f>raw_data_customer_seller!F5</f>
        <v>143.46</v>
      </c>
      <c r="G6" s="34">
        <f>raw_data_customer_seller!G5/100</f>
        <v>0</v>
      </c>
    </row>
    <row r="7" spans="1:11">
      <c r="A7" s="35" t="str">
        <f>raw_data_customer_seller!A6</f>
        <v>2016-10-01</v>
      </c>
      <c r="B7" s="31">
        <f>raw_data_customer_seller!B6</f>
        <v>262</v>
      </c>
      <c r="C7" s="31">
        <f>raw_data_customer_seller!C6</f>
        <v>12</v>
      </c>
      <c r="D7" s="36">
        <f>raw_data_customer_seller!D6</f>
        <v>1.05</v>
      </c>
      <c r="E7" s="30">
        <f>raw_data_customer_seller!E6</f>
        <v>184.13</v>
      </c>
      <c r="F7" s="30">
        <f>raw_data_customer_seller!F6</f>
        <v>48241.35</v>
      </c>
      <c r="G7" s="37">
        <f>raw_data_customer_seller!G6/100</f>
        <v>4.58E-2</v>
      </c>
    </row>
    <row r="8" spans="1:11">
      <c r="A8" s="32" t="str">
        <f>raw_data_customer_seller!A7</f>
        <v>2016-12-01</v>
      </c>
      <c r="B8" s="28">
        <f>raw_data_customer_seller!B7</f>
        <v>1</v>
      </c>
      <c r="C8" s="28">
        <f>raw_data_customer_seller!C7</f>
        <v>1</v>
      </c>
      <c r="D8" s="33">
        <f>raw_data_customer_seller!D7</f>
        <v>2</v>
      </c>
      <c r="E8" s="27">
        <f>raw_data_customer_seller!E7</f>
        <v>39.24</v>
      </c>
      <c r="F8" s="27">
        <f>raw_data_customer_seller!F7</f>
        <v>39.24</v>
      </c>
      <c r="G8" s="34">
        <f>raw_data_customer_seller!G7/100</f>
        <v>1</v>
      </c>
    </row>
    <row r="9" spans="1:11">
      <c r="A9" s="35" t="str">
        <f>raw_data_customer_seller!A8</f>
        <v>2017-01-01</v>
      </c>
      <c r="B9" s="31">
        <f>raw_data_customer_seller!B8</f>
        <v>717</v>
      </c>
      <c r="C9" s="31">
        <f>raw_data_customer_seller!C8</f>
        <v>52</v>
      </c>
      <c r="D9" s="36">
        <f>raw_data_customer_seller!D8</f>
        <v>1.0900000000000001</v>
      </c>
      <c r="E9" s="30">
        <f>raw_data_customer_seller!E8</f>
        <v>182.59</v>
      </c>
      <c r="F9" s="30">
        <f>raw_data_customer_seller!F8</f>
        <v>130915.22</v>
      </c>
      <c r="G9" s="37">
        <f>raw_data_customer_seller!G8/100</f>
        <v>7.2499999999999995E-2</v>
      </c>
    </row>
    <row r="10" spans="1:11">
      <c r="A10" s="32" t="str">
        <f>raw_data_customer_seller!A9</f>
        <v>2017-02-01</v>
      </c>
      <c r="B10" s="28">
        <f>raw_data_customer_seller!B9</f>
        <v>1628</v>
      </c>
      <c r="C10" s="28">
        <f>raw_data_customer_seller!C9</f>
        <v>66</v>
      </c>
      <c r="D10" s="33">
        <f>raw_data_customer_seller!D9</f>
        <v>1.04</v>
      </c>
      <c r="E10" s="27">
        <f>raw_data_customer_seller!E9</f>
        <v>170.63</v>
      </c>
      <c r="F10" s="27">
        <f>raw_data_customer_seller!F9</f>
        <v>277792.38</v>
      </c>
      <c r="G10" s="34">
        <f>raw_data_customer_seller!G9/100</f>
        <v>4.0500000000000001E-2</v>
      </c>
    </row>
    <row r="11" spans="1:11">
      <c r="A11" s="35" t="str">
        <f>raw_data_customer_seller!A10</f>
        <v>2017-03-01</v>
      </c>
      <c r="B11" s="31">
        <f>raw_data_customer_seller!B10</f>
        <v>2503</v>
      </c>
      <c r="C11" s="31">
        <f>raw_data_customer_seller!C10</f>
        <v>121</v>
      </c>
      <c r="D11" s="36">
        <f>raw_data_customer_seller!D10</f>
        <v>1.06</v>
      </c>
      <c r="E11" s="30">
        <f>raw_data_customer_seller!E10</f>
        <v>171.37</v>
      </c>
      <c r="F11" s="30">
        <f>raw_data_customer_seller!F10</f>
        <v>428948.45</v>
      </c>
      <c r="G11" s="37">
        <f>raw_data_customer_seller!G10/100</f>
        <v>4.8300000000000003E-2</v>
      </c>
    </row>
    <row r="12" spans="1:11">
      <c r="A12" s="32" t="str">
        <f>raw_data_customer_seller!A11</f>
        <v>2017-04-01</v>
      </c>
      <c r="B12" s="28">
        <f>raw_data_customer_seller!B11</f>
        <v>2256</v>
      </c>
      <c r="C12" s="28">
        <f>raw_data_customer_seller!C11</f>
        <v>102</v>
      </c>
      <c r="D12" s="33">
        <f>raw_data_customer_seller!D11</f>
        <v>1.05</v>
      </c>
      <c r="E12" s="27">
        <f>raw_data_customer_seller!E11</f>
        <v>178.67</v>
      </c>
      <c r="F12" s="27">
        <f>raw_data_customer_seller!F11</f>
        <v>403083.12</v>
      </c>
      <c r="G12" s="34">
        <f>raw_data_customer_seller!G11/100</f>
        <v>4.5199999999999997E-2</v>
      </c>
    </row>
    <row r="13" spans="1:11">
      <c r="A13" s="35" t="str">
        <f>raw_data_customer_seller!A12</f>
        <v>2017-05-01</v>
      </c>
      <c r="B13" s="31">
        <f>raw_data_customer_seller!B12</f>
        <v>3451</v>
      </c>
      <c r="C13" s="31">
        <f>raw_data_customer_seller!C12</f>
        <v>182</v>
      </c>
      <c r="D13" s="36">
        <f>raw_data_customer_seller!D12</f>
        <v>1.06</v>
      </c>
      <c r="E13" s="30">
        <f>raw_data_customer_seller!E12</f>
        <v>168.99</v>
      </c>
      <c r="F13" s="30">
        <f>raw_data_customer_seller!F12</f>
        <v>583196.94999999995</v>
      </c>
      <c r="G13" s="37">
        <f>raw_data_customer_seller!G12/100</f>
        <v>5.2699999999999997E-2</v>
      </c>
    </row>
    <row r="14" spans="1:11">
      <c r="A14" s="32" t="str">
        <f>raw_data_customer_seller!A13</f>
        <v>2017-06-01</v>
      </c>
      <c r="B14" s="28">
        <f>raw_data_customer_seller!B13</f>
        <v>3037</v>
      </c>
      <c r="C14" s="28">
        <f>raw_data_customer_seller!C13</f>
        <v>161</v>
      </c>
      <c r="D14" s="33">
        <f>raw_data_customer_seller!D13</f>
        <v>1.06</v>
      </c>
      <c r="E14" s="27">
        <f>raw_data_customer_seller!E13</f>
        <v>166.12</v>
      </c>
      <c r="F14" s="27">
        <f>raw_data_customer_seller!F13</f>
        <v>504520.05</v>
      </c>
      <c r="G14" s="34">
        <f>raw_data_customer_seller!G13/100</f>
        <v>5.2999999999999999E-2</v>
      </c>
    </row>
    <row r="15" spans="1:11">
      <c r="A15" s="35" t="str">
        <f>raw_data_customer_seller!A14</f>
        <v>2017-07-01</v>
      </c>
      <c r="B15" s="31">
        <f>raw_data_customer_seller!B14</f>
        <v>3752</v>
      </c>
      <c r="C15" s="31">
        <f>raw_data_customer_seller!C14</f>
        <v>175</v>
      </c>
      <c r="D15" s="36">
        <f>raw_data_customer_seller!D14</f>
        <v>1.05</v>
      </c>
      <c r="E15" s="30">
        <f>raw_data_customer_seller!E14</f>
        <v>153.80000000000001</v>
      </c>
      <c r="F15" s="30">
        <f>raw_data_customer_seller!F14</f>
        <v>577051.37</v>
      </c>
      <c r="G15" s="37">
        <f>raw_data_customer_seller!G14/100</f>
        <v>4.6600000000000003E-2</v>
      </c>
    </row>
    <row r="16" spans="1:11">
      <c r="A16" s="32" t="str">
        <f>raw_data_customer_seller!A15</f>
        <v>2017-08-01</v>
      </c>
      <c r="B16" s="28">
        <f>raw_data_customer_seller!B15</f>
        <v>4057</v>
      </c>
      <c r="C16" s="28">
        <f>raw_data_customer_seller!C15</f>
        <v>191</v>
      </c>
      <c r="D16" s="33">
        <f>raw_data_customer_seller!D15</f>
        <v>1.06</v>
      </c>
      <c r="E16" s="27">
        <f>raw_data_customer_seller!E15</f>
        <v>162.47</v>
      </c>
      <c r="F16" s="27">
        <f>raw_data_customer_seller!F15</f>
        <v>659150.61</v>
      </c>
      <c r="G16" s="34">
        <f>raw_data_customer_seller!G15/100</f>
        <v>4.7100000000000003E-2</v>
      </c>
    </row>
    <row r="17" spans="1:7">
      <c r="A17" s="35" t="str">
        <f>raw_data_customer_seller!A16</f>
        <v>2017-09-01</v>
      </c>
      <c r="B17" s="31">
        <f>raw_data_customer_seller!B16</f>
        <v>4004</v>
      </c>
      <c r="C17" s="31">
        <f>raw_data_customer_seller!C16</f>
        <v>180</v>
      </c>
      <c r="D17" s="36">
        <f>raw_data_customer_seller!D16</f>
        <v>1.05</v>
      </c>
      <c r="E17" s="30">
        <f>raw_data_customer_seller!E16</f>
        <v>177.06</v>
      </c>
      <c r="F17" s="30">
        <f>raw_data_customer_seller!F16</f>
        <v>708937.04</v>
      </c>
      <c r="G17" s="37">
        <f>raw_data_customer_seller!G16/100</f>
        <v>4.4999999999999998E-2</v>
      </c>
    </row>
    <row r="18" spans="1:7">
      <c r="A18" s="32" t="str">
        <f>raw_data_customer_seller!A17</f>
        <v>2017-10-01</v>
      </c>
      <c r="B18" s="28">
        <f>raw_data_customer_seller!B17</f>
        <v>4328</v>
      </c>
      <c r="C18" s="28">
        <f>raw_data_customer_seller!C17</f>
        <v>160</v>
      </c>
      <c r="D18" s="33">
        <f>raw_data_customer_seller!D17</f>
        <v>1.04</v>
      </c>
      <c r="E18" s="27">
        <f>raw_data_customer_seller!E17</f>
        <v>174.67</v>
      </c>
      <c r="F18" s="27">
        <f>raw_data_customer_seller!F17</f>
        <v>755962.13</v>
      </c>
      <c r="G18" s="34">
        <f>raw_data_customer_seller!G17/100</f>
        <v>3.7000000000000005E-2</v>
      </c>
    </row>
    <row r="19" spans="1:7">
      <c r="A19" s="35" t="str">
        <f>raw_data_customer_seller!A18</f>
        <v>2017-11-01</v>
      </c>
      <c r="B19" s="31">
        <f>raw_data_customer_seller!B18</f>
        <v>7060</v>
      </c>
      <c r="C19" s="31">
        <f>raw_data_customer_seller!C18</f>
        <v>223</v>
      </c>
      <c r="D19" s="36">
        <f>raw_data_customer_seller!D18</f>
        <v>1.03</v>
      </c>
      <c r="E19" s="30">
        <f>raw_data_customer_seller!E18</f>
        <v>164.03</v>
      </c>
      <c r="F19" s="30">
        <f>raw_data_customer_seller!F18</f>
        <v>1158049.99</v>
      </c>
      <c r="G19" s="37">
        <f>raw_data_customer_seller!G18/100</f>
        <v>3.1600000000000003E-2</v>
      </c>
    </row>
    <row r="20" spans="1:7">
      <c r="A20" s="32" t="str">
        <f>raw_data_customer_seller!A19</f>
        <v>2017-12-01</v>
      </c>
      <c r="B20" s="28">
        <f>raw_data_customer_seller!B19</f>
        <v>5338</v>
      </c>
      <c r="C20" s="28">
        <f>raw_data_customer_seller!C19</f>
        <v>139</v>
      </c>
      <c r="D20" s="33">
        <f>raw_data_customer_seller!D19</f>
        <v>1.03</v>
      </c>
      <c r="E20" s="27">
        <f>raw_data_customer_seller!E19</f>
        <v>156.94999999999999</v>
      </c>
      <c r="F20" s="27">
        <f>raw_data_customer_seller!F19</f>
        <v>837816.74</v>
      </c>
      <c r="G20" s="34">
        <f>raw_data_customer_seller!G19/100</f>
        <v>2.6000000000000002E-2</v>
      </c>
    </row>
    <row r="21" spans="1:7">
      <c r="A21" s="35" t="str">
        <f>raw_data_customer_seller!A20</f>
        <v>2018-01-01</v>
      </c>
      <c r="B21" s="31">
        <f>raw_data_customer_seller!B20</f>
        <v>6842</v>
      </c>
      <c r="C21" s="31">
        <f>raw_data_customer_seller!C20</f>
        <v>208</v>
      </c>
      <c r="D21" s="36">
        <f>raw_data_customer_seller!D20</f>
        <v>1.03</v>
      </c>
      <c r="E21" s="30">
        <f>raw_data_customer_seller!E20</f>
        <v>157.16</v>
      </c>
      <c r="F21" s="30">
        <f>raw_data_customer_seller!F20</f>
        <v>1075288.6399999999</v>
      </c>
      <c r="G21" s="37">
        <f>raw_data_customer_seller!G20/100</f>
        <v>3.04E-2</v>
      </c>
    </row>
    <row r="22" spans="1:7">
      <c r="A22" s="32" t="str">
        <f>raw_data_customer_seller!A21</f>
        <v>2018-02-01</v>
      </c>
      <c r="B22" s="28">
        <f>raw_data_customer_seller!B21</f>
        <v>6288</v>
      </c>
      <c r="C22" s="28">
        <f>raw_data_customer_seller!C21</f>
        <v>236</v>
      </c>
      <c r="D22" s="33">
        <f>raw_data_customer_seller!D21</f>
        <v>1.04</v>
      </c>
      <c r="E22" s="27">
        <f>raw_data_customer_seller!E21</f>
        <v>153.88999999999999</v>
      </c>
      <c r="F22" s="27">
        <f>raw_data_customer_seller!F21</f>
        <v>967667.01</v>
      </c>
      <c r="G22" s="34">
        <f>raw_data_customer_seller!G21/100</f>
        <v>3.7499999999999999E-2</v>
      </c>
    </row>
    <row r="23" spans="1:7">
      <c r="A23" s="35" t="str">
        <f>raw_data_customer_seller!A22</f>
        <v>2018-03-01</v>
      </c>
      <c r="B23" s="31">
        <f>raw_data_customer_seller!B22</f>
        <v>6774</v>
      </c>
      <c r="C23" s="31">
        <f>raw_data_customer_seller!C22</f>
        <v>162</v>
      </c>
      <c r="D23" s="36">
        <f>raw_data_customer_seller!D22</f>
        <v>1.03</v>
      </c>
      <c r="E23" s="30">
        <f>raw_data_customer_seller!E22</f>
        <v>164.26</v>
      </c>
      <c r="F23" s="30">
        <f>raw_data_customer_seller!F22</f>
        <v>1112671.8600000001</v>
      </c>
      <c r="G23" s="37">
        <f>raw_data_customer_seller!G22/100</f>
        <v>2.3900000000000001E-2</v>
      </c>
    </row>
    <row r="24" spans="1:7">
      <c r="A24" s="32" t="str">
        <f>raw_data_customer_seller!A23</f>
        <v>2018-04-01</v>
      </c>
      <c r="B24" s="28">
        <f>raw_data_customer_seller!B23</f>
        <v>6582</v>
      </c>
      <c r="C24" s="28">
        <f>raw_data_customer_seller!C23</f>
        <v>129</v>
      </c>
      <c r="D24" s="33">
        <f>raw_data_customer_seller!D23</f>
        <v>1.02</v>
      </c>
      <c r="E24" s="27">
        <f>raw_data_customer_seller!E23</f>
        <v>170.07</v>
      </c>
      <c r="F24" s="27">
        <f>raw_data_customer_seller!F23</f>
        <v>1119415.24</v>
      </c>
      <c r="G24" s="34">
        <f>raw_data_customer_seller!G23/100</f>
        <v>1.9599999999999999E-2</v>
      </c>
    </row>
    <row r="25" spans="1:7">
      <c r="A25" s="35" t="str">
        <f>raw_data_customer_seller!A24</f>
        <v>2018-05-01</v>
      </c>
      <c r="B25" s="31">
        <f>raw_data_customer_seller!B24</f>
        <v>6506</v>
      </c>
      <c r="C25" s="31">
        <f>raw_data_customer_seller!C24</f>
        <v>109</v>
      </c>
      <c r="D25" s="36">
        <f>raw_data_customer_seller!D24</f>
        <v>1.02</v>
      </c>
      <c r="E25" s="30">
        <f>raw_data_customer_seller!E24</f>
        <v>171.01</v>
      </c>
      <c r="F25" s="30">
        <f>raw_data_customer_seller!F24</f>
        <v>1112584.3700000001</v>
      </c>
      <c r="G25" s="37">
        <f>raw_data_customer_seller!G24/100</f>
        <v>1.6799999999999999E-2</v>
      </c>
    </row>
    <row r="26" spans="1:7">
      <c r="A26" s="32" t="str">
        <f>raw_data_customer_seller!A25</f>
        <v>2018-06-01</v>
      </c>
      <c r="B26" s="28">
        <f>raw_data_customer_seller!B25</f>
        <v>5878</v>
      </c>
      <c r="C26" s="28">
        <f>raw_data_customer_seller!C25</f>
        <v>70</v>
      </c>
      <c r="D26" s="33">
        <f>raw_data_customer_seller!D25</f>
        <v>1.01</v>
      </c>
      <c r="E26" s="27">
        <f>raw_data_customer_seller!E25</f>
        <v>167.91</v>
      </c>
      <c r="F26" s="27">
        <f>raw_data_customer_seller!F25</f>
        <v>986953.45</v>
      </c>
      <c r="G26" s="34">
        <f>raw_data_customer_seller!G25/100</f>
        <v>1.1899999999999999E-2</v>
      </c>
    </row>
    <row r="27" spans="1:7">
      <c r="A27" s="35" t="str">
        <f>raw_data_customer_seller!A26</f>
        <v>2018-07-01</v>
      </c>
      <c r="B27" s="31">
        <f>raw_data_customer_seller!B26</f>
        <v>5949</v>
      </c>
      <c r="C27" s="31">
        <f>raw_data_customer_seller!C26</f>
        <v>88</v>
      </c>
      <c r="D27" s="36">
        <f>raw_data_customer_seller!D26</f>
        <v>1.01</v>
      </c>
      <c r="E27" s="30">
        <f>raw_data_customer_seller!E26</f>
        <v>169.49</v>
      </c>
      <c r="F27" s="30">
        <f>raw_data_customer_seller!F26</f>
        <v>1008314.75</v>
      </c>
      <c r="G27" s="37">
        <f>raw_data_customer_seller!G26/100</f>
        <v>1.4800000000000001E-2</v>
      </c>
    </row>
    <row r="28" spans="1:7">
      <c r="A28" s="32" t="str">
        <f>raw_data_customer_seller!A27</f>
        <v>2018-08-01</v>
      </c>
      <c r="B28" s="28">
        <f>raw_data_customer_seller!B27</f>
        <v>6144</v>
      </c>
      <c r="C28" s="28">
        <f>raw_data_customer_seller!C27</f>
        <v>34</v>
      </c>
      <c r="D28" s="33">
        <f>raw_data_customer_seller!D27</f>
        <v>1.01</v>
      </c>
      <c r="E28" s="27">
        <f>raw_data_customer_seller!E27</f>
        <v>156.74</v>
      </c>
      <c r="F28" s="27">
        <f>raw_data_customer_seller!F27</f>
        <v>963030.33</v>
      </c>
      <c r="G28" s="34">
        <f>raw_data_customer_seller!G27/100</f>
        <v>5.5000000000000005E-3</v>
      </c>
    </row>
    <row r="30" spans="1:7" ht="16.149999999999999">
      <c r="A30" s="3" t="s">
        <v>90</v>
      </c>
    </row>
    <row r="31" spans="1:7" ht="27.75" customHeight="1">
      <c r="A31" s="4" t="s">
        <v>91</v>
      </c>
      <c r="B31" s="4" t="s">
        <v>92</v>
      </c>
      <c r="C31" s="4" t="s">
        <v>53</v>
      </c>
      <c r="D31" s="4" t="s">
        <v>93</v>
      </c>
      <c r="E31" s="4" t="s">
        <v>94</v>
      </c>
    </row>
    <row r="32" spans="1:7">
      <c r="A32" s="44" t="s">
        <v>95</v>
      </c>
      <c r="B32" s="26" t="str">
        <f>raw_data_customer_seller!A31</f>
        <v>4869f7a5dfa277a7dca6462dcf3b52b2</v>
      </c>
      <c r="C32" s="28">
        <f>raw_data_customer_seller!B31</f>
        <v>1124</v>
      </c>
      <c r="D32" s="27">
        <f>raw_data_customer_seller!C31</f>
        <v>247007.06</v>
      </c>
      <c r="E32" s="27">
        <f>raw_data_customer_seller!D31</f>
        <v>219.76</v>
      </c>
    </row>
    <row r="33" spans="1:5">
      <c r="A33" s="45" t="s">
        <v>96</v>
      </c>
      <c r="B33" s="29" t="str">
        <f>raw_data_customer_seller!A32</f>
        <v>7c67e1448b00f6e969d365cea6b010ab</v>
      </c>
      <c r="C33" s="31">
        <f>raw_data_customer_seller!B32</f>
        <v>973</v>
      </c>
      <c r="D33" s="30">
        <f>raw_data_customer_seller!C32</f>
        <v>237806.69</v>
      </c>
      <c r="E33" s="30">
        <f>raw_data_customer_seller!D32</f>
        <v>244.41</v>
      </c>
    </row>
    <row r="34" spans="1:5">
      <c r="A34" s="44" t="s">
        <v>97</v>
      </c>
      <c r="B34" s="26" t="str">
        <f>raw_data_customer_seller!A33</f>
        <v>4a3ca9315b744ce9f8e9374361493884</v>
      </c>
      <c r="C34" s="28">
        <f>raw_data_customer_seller!B33</f>
        <v>1772</v>
      </c>
      <c r="D34" s="27">
        <f>raw_data_customer_seller!C33</f>
        <v>231220.43</v>
      </c>
      <c r="E34" s="27">
        <f>raw_data_customer_seller!D33</f>
        <v>130.49</v>
      </c>
    </row>
    <row r="35" spans="1:5">
      <c r="A35" s="45" t="s">
        <v>98</v>
      </c>
      <c r="B35" s="29" t="str">
        <f>raw_data_customer_seller!A34</f>
        <v>53243585a1d6dc2643021fd1853d8905</v>
      </c>
      <c r="C35" s="31">
        <f>raw_data_customer_seller!B34</f>
        <v>348</v>
      </c>
      <c r="D35" s="30">
        <f>raw_data_customer_seller!C34</f>
        <v>230797.02</v>
      </c>
      <c r="E35" s="30">
        <f>raw_data_customer_seller!D34</f>
        <v>663.21</v>
      </c>
    </row>
    <row r="36" spans="1:5">
      <c r="A36" s="44" t="s">
        <v>99</v>
      </c>
      <c r="B36" s="26" t="str">
        <f>raw_data_customer_seller!A35</f>
        <v>fa1c13f2614d7b5c4749cbc52fecda94</v>
      </c>
      <c r="C36" s="28">
        <f>raw_data_customer_seller!B35</f>
        <v>578</v>
      </c>
      <c r="D36" s="27">
        <f>raw_data_customer_seller!C35</f>
        <v>200833.5</v>
      </c>
      <c r="E36" s="27">
        <f>raw_data_customer_seller!D35</f>
        <v>347.46</v>
      </c>
    </row>
    <row r="37" spans="1:5">
      <c r="A37" s="45" t="s">
        <v>100</v>
      </c>
      <c r="B37" s="29" t="str">
        <f>raw_data_customer_seller!A36</f>
        <v>da8622b14eb17ae2831f4ac5b9dab84a</v>
      </c>
      <c r="C37" s="31">
        <f>raw_data_customer_seller!B36</f>
        <v>1311</v>
      </c>
      <c r="D37" s="30">
        <f>raw_data_customer_seller!C36</f>
        <v>184706.78</v>
      </c>
      <c r="E37" s="30">
        <f>raw_data_customer_seller!D36</f>
        <v>140.88999999999999</v>
      </c>
    </row>
    <row r="38" spans="1:5">
      <c r="A38" s="44" t="s">
        <v>101</v>
      </c>
      <c r="B38" s="26" t="str">
        <f>raw_data_customer_seller!A37</f>
        <v>7e93a43ef30c4f03f38b393420bc753a</v>
      </c>
      <c r="C38" s="28">
        <f>raw_data_customer_seller!B37</f>
        <v>319</v>
      </c>
      <c r="D38" s="27">
        <f>raw_data_customer_seller!C37</f>
        <v>171973.55</v>
      </c>
      <c r="E38" s="27">
        <f>raw_data_customer_seller!D37</f>
        <v>539.1</v>
      </c>
    </row>
    <row r="39" spans="1:5">
      <c r="A39" s="45" t="s">
        <v>102</v>
      </c>
      <c r="B39" s="29" t="str">
        <f>raw_data_customer_seller!A38</f>
        <v>1025f0e2d44d7041d6cf58b6550e0bfa</v>
      </c>
      <c r="C39" s="31">
        <f>raw_data_customer_seller!B38</f>
        <v>910</v>
      </c>
      <c r="D39" s="30">
        <f>raw_data_customer_seller!C38</f>
        <v>171924.96</v>
      </c>
      <c r="E39" s="30">
        <f>raw_data_customer_seller!D38</f>
        <v>188.93</v>
      </c>
    </row>
    <row r="40" spans="1:5">
      <c r="A40" s="44" t="s">
        <v>103</v>
      </c>
      <c r="B40" s="26" t="str">
        <f>raw_data_customer_seller!A39</f>
        <v>7a67c85e85bb2ce8582c35f2203ad736</v>
      </c>
      <c r="C40" s="28">
        <f>raw_data_customer_seller!B39</f>
        <v>1145</v>
      </c>
      <c r="D40" s="27">
        <f>raw_data_customer_seller!C39</f>
        <v>160278.51999999999</v>
      </c>
      <c r="E40" s="27">
        <f>raw_data_customer_seller!D39</f>
        <v>139.97999999999999</v>
      </c>
    </row>
    <row r="41" spans="1:5">
      <c r="A41" s="45" t="s">
        <v>104</v>
      </c>
      <c r="B41" s="29" t="str">
        <f>raw_data_customer_seller!A40</f>
        <v>955fee9216a65b617aa5c0531780ce60</v>
      </c>
      <c r="C41" s="31">
        <f>raw_data_customer_seller!B40</f>
        <v>1261</v>
      </c>
      <c r="D41" s="30">
        <f>raw_data_customer_seller!C40</f>
        <v>156606.48000000001</v>
      </c>
      <c r="E41" s="30">
        <f>raw_data_customer_seller!D40</f>
        <v>124.19</v>
      </c>
    </row>
    <row r="42" spans="1:5">
      <c r="A42" s="44" t="s">
        <v>105</v>
      </c>
      <c r="B42" s="26" t="str">
        <f>raw_data_customer_seller!A41</f>
        <v>6560211a19b47992c3666cc44a7e94c0</v>
      </c>
      <c r="C42" s="28">
        <f>raw_data_customer_seller!B41</f>
        <v>1819</v>
      </c>
      <c r="D42" s="27">
        <f>raw_data_customer_seller!C41</f>
        <v>148050.94</v>
      </c>
      <c r="E42" s="27">
        <f>raw_data_customer_seller!D41</f>
        <v>81.39</v>
      </c>
    </row>
    <row r="43" spans="1:5">
      <c r="A43" s="45" t="s">
        <v>106</v>
      </c>
      <c r="B43" s="29" t="str">
        <f>raw_data_customer_seller!A42</f>
        <v>1f50f920176fa81dab994f9023523100</v>
      </c>
      <c r="C43" s="31">
        <f>raw_data_customer_seller!B42</f>
        <v>1399</v>
      </c>
      <c r="D43" s="30">
        <f>raw_data_customer_seller!C42</f>
        <v>141712.94</v>
      </c>
      <c r="E43" s="30">
        <f>raw_data_customer_seller!D42</f>
        <v>101.3</v>
      </c>
    </row>
    <row r="44" spans="1:5">
      <c r="A44" s="44" t="s">
        <v>107</v>
      </c>
      <c r="B44" s="26" t="str">
        <f>raw_data_customer_seller!A43</f>
        <v>46dc3b2cc0980fb8ec44634e21d2718e</v>
      </c>
      <c r="C44" s="28">
        <f>raw_data_customer_seller!B43</f>
        <v>503</v>
      </c>
      <c r="D44" s="27">
        <f>raw_data_customer_seller!C43</f>
        <v>134162.88</v>
      </c>
      <c r="E44" s="27">
        <f>raw_data_customer_seller!D43</f>
        <v>266.73</v>
      </c>
    </row>
    <row r="45" spans="1:5">
      <c r="A45" s="45" t="s">
        <v>108</v>
      </c>
      <c r="B45" s="29" t="str">
        <f>raw_data_customer_seller!A44</f>
        <v>a1043bafd471dff536d0c462352beb48</v>
      </c>
      <c r="C45" s="31">
        <f>raw_data_customer_seller!B44</f>
        <v>702</v>
      </c>
      <c r="D45" s="30">
        <f>raw_data_customer_seller!C44</f>
        <v>130412.74</v>
      </c>
      <c r="E45" s="30">
        <f>raw_data_customer_seller!D44</f>
        <v>185.77</v>
      </c>
    </row>
    <row r="46" spans="1:5">
      <c r="A46" s="44" t="s">
        <v>109</v>
      </c>
      <c r="B46" s="26" t="str">
        <f>raw_data_customer_seller!A45</f>
        <v>620c87c171fb2a6dd6e8bb4dec959fc6</v>
      </c>
      <c r="C46" s="28">
        <f>raw_data_customer_seller!B45</f>
        <v>722</v>
      </c>
      <c r="D46" s="27">
        <f>raw_data_customer_seller!C45</f>
        <v>126278.18</v>
      </c>
      <c r="E46" s="27">
        <f>raw_data_customer_seller!D45</f>
        <v>174.9</v>
      </c>
    </row>
    <row r="48" spans="1:5">
      <c r="A48" s="54" t="s">
        <v>110</v>
      </c>
      <c r="B48" s="54"/>
      <c r="C48" s="54"/>
      <c r="D48" s="54"/>
      <c r="E48" s="54"/>
    </row>
  </sheetData>
  <sheetProtection sheet="1" objects="1" scenarios="1"/>
  <mergeCells count="1">
    <mergeCell ref="A48:E4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showGridLines="0" tabSelected="1" topLeftCell="A33" zoomScaleNormal="100" workbookViewId="0">
      <selection activeCell="U31" sqref="U31"/>
    </sheetView>
  </sheetViews>
  <sheetFormatPr defaultColWidth="8.7109375" defaultRowHeight="15"/>
  <cols>
    <col min="1" max="1" width="15" customWidth="1"/>
    <col min="2" max="3" width="16" customWidth="1"/>
    <col min="4" max="4" width="17" customWidth="1"/>
    <col min="5" max="5" width="18.28515625" bestFit="1" customWidth="1"/>
  </cols>
  <sheetData>
    <row r="1" spans="1:5" ht="19.7">
      <c r="A1" s="16" t="s">
        <v>111</v>
      </c>
    </row>
    <row r="2" spans="1:5">
      <c r="A2" s="2" t="s">
        <v>112</v>
      </c>
    </row>
    <row r="3" spans="1:5">
      <c r="A3" s="9" t="s">
        <v>113</v>
      </c>
    </row>
    <row r="5" spans="1:5" ht="27.75" customHeight="1">
      <c r="A5" s="4" t="s">
        <v>114</v>
      </c>
      <c r="B5" s="4" t="s">
        <v>115</v>
      </c>
      <c r="C5" s="4" t="s">
        <v>116</v>
      </c>
      <c r="D5" s="4" t="s">
        <v>117</v>
      </c>
      <c r="E5" s="4" t="s">
        <v>118</v>
      </c>
    </row>
    <row r="6" spans="1:5">
      <c r="A6" s="32" t="str">
        <f>raw_data_review_analysis!A5</f>
        <v>2016-09-01</v>
      </c>
      <c r="B6" s="28">
        <f>raw_data_review_analysis!B5</f>
        <v>1</v>
      </c>
      <c r="C6" s="33">
        <f>raw_data_review_analysis!C5</f>
        <v>1</v>
      </c>
      <c r="D6" s="28">
        <f>raw_data_review_analysis!D5</f>
        <v>1</v>
      </c>
      <c r="E6" s="34">
        <f>raw_data_review_analysis!E5/100</f>
        <v>1</v>
      </c>
    </row>
    <row r="7" spans="1:5">
      <c r="A7" s="35" t="str">
        <f>raw_data_review_analysis!A6</f>
        <v>2016-10-01</v>
      </c>
      <c r="B7" s="31">
        <f>raw_data_review_analysis!B6</f>
        <v>262</v>
      </c>
      <c r="C7" s="36">
        <f>raw_data_review_analysis!C6</f>
        <v>4.01</v>
      </c>
      <c r="D7" s="31">
        <f>raw_data_review_analysis!D6</f>
        <v>43</v>
      </c>
      <c r="E7" s="37">
        <f>raw_data_review_analysis!E6/100</f>
        <v>0.1641</v>
      </c>
    </row>
    <row r="8" spans="1:5">
      <c r="A8" s="32" t="str">
        <f>raw_data_review_analysis!A7</f>
        <v>2016-12-01</v>
      </c>
      <c r="B8" s="28">
        <f>raw_data_review_analysis!B7</f>
        <v>1</v>
      </c>
      <c r="C8" s="33">
        <f>raw_data_review_analysis!C7</f>
        <v>5</v>
      </c>
      <c r="D8" s="28">
        <f>raw_data_review_analysis!D7</f>
        <v>0</v>
      </c>
      <c r="E8" s="34">
        <f>raw_data_review_analysis!E7/100</f>
        <v>0</v>
      </c>
    </row>
    <row r="9" spans="1:5">
      <c r="A9" s="35" t="str">
        <f>raw_data_review_analysis!A8</f>
        <v>2017-01-01</v>
      </c>
      <c r="B9" s="31">
        <f>raw_data_review_analysis!B8</f>
        <v>741</v>
      </c>
      <c r="C9" s="36">
        <f>raw_data_review_analysis!C8</f>
        <v>4.2</v>
      </c>
      <c r="D9" s="31">
        <f>raw_data_review_analysis!D8</f>
        <v>89</v>
      </c>
      <c r="E9" s="37">
        <f>raw_data_review_analysis!E8/100</f>
        <v>0.1201</v>
      </c>
    </row>
    <row r="10" spans="1:5">
      <c r="A10" s="32" t="str">
        <f>raw_data_review_analysis!A9</f>
        <v>2017-02-01</v>
      </c>
      <c r="B10" s="28">
        <f>raw_data_review_analysis!B9</f>
        <v>1643</v>
      </c>
      <c r="C10" s="33">
        <f>raw_data_review_analysis!C9</f>
        <v>4.2</v>
      </c>
      <c r="D10" s="28">
        <f>raw_data_review_analysis!D9</f>
        <v>182</v>
      </c>
      <c r="E10" s="34">
        <f>raw_data_review_analysis!E9/100</f>
        <v>0.1108</v>
      </c>
    </row>
    <row r="11" spans="1:5">
      <c r="A11" s="35" t="str">
        <f>raw_data_review_analysis!A10</f>
        <v>2017-03-01</v>
      </c>
      <c r="B11" s="31">
        <f>raw_data_review_analysis!B10</f>
        <v>2527</v>
      </c>
      <c r="C11" s="36">
        <f>raw_data_review_analysis!C10</f>
        <v>4.1900000000000004</v>
      </c>
      <c r="D11" s="31">
        <f>raw_data_review_analysis!D10</f>
        <v>284</v>
      </c>
      <c r="E11" s="37">
        <f>raw_data_review_analysis!E10/100</f>
        <v>0.1124</v>
      </c>
    </row>
    <row r="12" spans="1:5">
      <c r="A12" s="32" t="str">
        <f>raw_data_review_analysis!A11</f>
        <v>2017-04-01</v>
      </c>
      <c r="B12" s="28">
        <f>raw_data_review_analysis!B11</f>
        <v>2290</v>
      </c>
      <c r="C12" s="33">
        <f>raw_data_review_analysis!C11</f>
        <v>4.1399999999999997</v>
      </c>
      <c r="D12" s="28">
        <f>raw_data_review_analysis!D11</f>
        <v>293</v>
      </c>
      <c r="E12" s="34">
        <f>raw_data_review_analysis!E11/100</f>
        <v>0.12789999999999999</v>
      </c>
    </row>
    <row r="13" spans="1:5">
      <c r="A13" s="35" t="str">
        <f>raw_data_review_analysis!A12</f>
        <v>2017-05-01</v>
      </c>
      <c r="B13" s="31">
        <f>raw_data_review_analysis!B12</f>
        <v>3517</v>
      </c>
      <c r="C13" s="36">
        <f>raw_data_review_analysis!C12</f>
        <v>4.24</v>
      </c>
      <c r="D13" s="31">
        <f>raw_data_review_analysis!D12</f>
        <v>352</v>
      </c>
      <c r="E13" s="37">
        <f>raw_data_review_analysis!E12/100</f>
        <v>0.10009999999999999</v>
      </c>
    </row>
    <row r="14" spans="1:5">
      <c r="A14" s="32" t="str">
        <f>raw_data_review_analysis!A13</f>
        <v>2017-06-01</v>
      </c>
      <c r="B14" s="28">
        <f>raw_data_review_analysis!B13</f>
        <v>3111</v>
      </c>
      <c r="C14" s="33">
        <f>raw_data_review_analysis!C13</f>
        <v>4.22</v>
      </c>
      <c r="D14" s="28">
        <f>raw_data_review_analysis!D13</f>
        <v>330</v>
      </c>
      <c r="E14" s="34">
        <f>raw_data_review_analysis!E13/100</f>
        <v>0.1061</v>
      </c>
    </row>
    <row r="15" spans="1:5">
      <c r="A15" s="35" t="str">
        <f>raw_data_review_analysis!A14</f>
        <v>2017-07-01</v>
      </c>
      <c r="B15" s="31">
        <f>raw_data_review_analysis!B14</f>
        <v>3842</v>
      </c>
      <c r="C15" s="36">
        <f>raw_data_review_analysis!C14</f>
        <v>4.26</v>
      </c>
      <c r="D15" s="31">
        <f>raw_data_review_analysis!D14</f>
        <v>381</v>
      </c>
      <c r="E15" s="37">
        <f>raw_data_review_analysis!E14/100</f>
        <v>9.9199999999999997E-2</v>
      </c>
    </row>
    <row r="16" spans="1:5">
      <c r="A16" s="32" t="str">
        <f>raw_data_review_analysis!A15</f>
        <v>2017-08-01</v>
      </c>
      <c r="B16" s="28">
        <f>raw_data_review_analysis!B15</f>
        <v>4165</v>
      </c>
      <c r="C16" s="33">
        <f>raw_data_review_analysis!C15</f>
        <v>4.3099999999999996</v>
      </c>
      <c r="D16" s="28">
        <f>raw_data_review_analysis!D15</f>
        <v>391</v>
      </c>
      <c r="E16" s="34">
        <f>raw_data_review_analysis!E15/100</f>
        <v>9.3900000000000011E-2</v>
      </c>
    </row>
    <row r="17" spans="1:5">
      <c r="A17" s="35" t="str">
        <f>raw_data_review_analysis!A16</f>
        <v>2017-09-01</v>
      </c>
      <c r="B17" s="31">
        <f>raw_data_review_analysis!B16</f>
        <v>4118</v>
      </c>
      <c r="C17" s="36">
        <f>raw_data_review_analysis!C16</f>
        <v>4.2699999999999996</v>
      </c>
      <c r="D17" s="31">
        <f>raw_data_review_analysis!D16</f>
        <v>420</v>
      </c>
      <c r="E17" s="37">
        <f>raw_data_review_analysis!E16/100</f>
        <v>0.10199999999999999</v>
      </c>
    </row>
    <row r="18" spans="1:5">
      <c r="A18" s="32" t="str">
        <f>raw_data_review_analysis!A17</f>
        <v>2017-10-01</v>
      </c>
      <c r="B18" s="28">
        <f>raw_data_review_analysis!B17</f>
        <v>4446</v>
      </c>
      <c r="C18" s="33">
        <f>raw_data_review_analysis!C17</f>
        <v>4.21</v>
      </c>
      <c r="D18" s="28">
        <f>raw_data_review_analysis!D17</f>
        <v>490</v>
      </c>
      <c r="E18" s="34">
        <f>raw_data_review_analysis!E17/100</f>
        <v>0.11019999999999999</v>
      </c>
    </row>
    <row r="19" spans="1:5">
      <c r="A19" s="35" t="str">
        <f>raw_data_review_analysis!A18</f>
        <v>2017-11-01</v>
      </c>
      <c r="B19" s="31">
        <f>raw_data_review_analysis!B18</f>
        <v>7237</v>
      </c>
      <c r="C19" s="36">
        <f>raw_data_review_analysis!C18</f>
        <v>3.99</v>
      </c>
      <c r="D19" s="31">
        <f>raw_data_review_analysis!D18</f>
        <v>1196</v>
      </c>
      <c r="E19" s="37">
        <f>raw_data_review_analysis!E18/100</f>
        <v>0.1653</v>
      </c>
    </row>
    <row r="20" spans="1:5">
      <c r="A20" s="32" t="str">
        <f>raw_data_review_analysis!A19</f>
        <v>2017-12-01</v>
      </c>
      <c r="B20" s="28">
        <f>raw_data_review_analysis!B19</f>
        <v>5461</v>
      </c>
      <c r="C20" s="33">
        <f>raw_data_review_analysis!C19</f>
        <v>4.09</v>
      </c>
      <c r="D20" s="28">
        <f>raw_data_review_analysis!D19</f>
        <v>787</v>
      </c>
      <c r="E20" s="34">
        <f>raw_data_review_analysis!E19/100</f>
        <v>0.14410000000000001</v>
      </c>
    </row>
    <row r="21" spans="1:5">
      <c r="A21" s="35" t="str">
        <f>raw_data_review_analysis!A20</f>
        <v>2018-01-01</v>
      </c>
      <c r="B21" s="31">
        <f>raw_data_review_analysis!B20</f>
        <v>7013</v>
      </c>
      <c r="C21" s="36">
        <f>raw_data_review_analysis!C20</f>
        <v>4.1100000000000003</v>
      </c>
      <c r="D21" s="31">
        <f>raw_data_review_analysis!D20</f>
        <v>959</v>
      </c>
      <c r="E21" s="37">
        <f>raw_data_review_analysis!E20/100</f>
        <v>0.13669999999999999</v>
      </c>
    </row>
    <row r="22" spans="1:5">
      <c r="A22" s="32" t="str">
        <f>raw_data_review_analysis!A21</f>
        <v>2018-02-01</v>
      </c>
      <c r="B22" s="28">
        <f>raw_data_review_analysis!B21</f>
        <v>6507</v>
      </c>
      <c r="C22" s="33">
        <f>raw_data_review_analysis!C21</f>
        <v>3.88</v>
      </c>
      <c r="D22" s="28">
        <f>raw_data_review_analysis!D21</f>
        <v>1253</v>
      </c>
      <c r="E22" s="34">
        <f>raw_data_review_analysis!E21/100</f>
        <v>0.19260000000000002</v>
      </c>
    </row>
    <row r="23" spans="1:5">
      <c r="A23" s="35" t="str">
        <f>raw_data_review_analysis!A22</f>
        <v>2018-03-01</v>
      </c>
      <c r="B23" s="31">
        <f>raw_data_review_analysis!B22</f>
        <v>6948</v>
      </c>
      <c r="C23" s="36">
        <f>raw_data_review_analysis!C22</f>
        <v>3.81</v>
      </c>
      <c r="D23" s="31">
        <f>raw_data_review_analysis!D22</f>
        <v>1468</v>
      </c>
      <c r="E23" s="37">
        <f>raw_data_review_analysis!E22/100</f>
        <v>0.21129999999999999</v>
      </c>
    </row>
    <row r="24" spans="1:5">
      <c r="A24" s="32" t="str">
        <f>raw_data_review_analysis!A23</f>
        <v>2018-04-01</v>
      </c>
      <c r="B24" s="28">
        <f>raw_data_review_analysis!B23</f>
        <v>6752</v>
      </c>
      <c r="C24" s="33">
        <f>raw_data_review_analysis!C23</f>
        <v>4.21</v>
      </c>
      <c r="D24" s="28">
        <f>raw_data_review_analysis!D23</f>
        <v>793</v>
      </c>
      <c r="E24" s="34">
        <f>raw_data_review_analysis!E23/100</f>
        <v>0.1174</v>
      </c>
    </row>
    <row r="25" spans="1:5">
      <c r="A25" s="35" t="str">
        <f>raw_data_review_analysis!A24</f>
        <v>2018-05-01</v>
      </c>
      <c r="B25" s="31">
        <f>raw_data_review_analysis!B24</f>
        <v>6722</v>
      </c>
      <c r="C25" s="36">
        <f>raw_data_review_analysis!C24</f>
        <v>4.24</v>
      </c>
      <c r="D25" s="31">
        <f>raw_data_review_analysis!D24</f>
        <v>723</v>
      </c>
      <c r="E25" s="37">
        <f>raw_data_review_analysis!E24/100</f>
        <v>0.1076</v>
      </c>
    </row>
    <row r="26" spans="1:5">
      <c r="A26" s="32" t="str">
        <f>raw_data_review_analysis!A25</f>
        <v>2018-06-01</v>
      </c>
      <c r="B26" s="28">
        <f>raw_data_review_analysis!B25</f>
        <v>6072</v>
      </c>
      <c r="C26" s="33">
        <f>raw_data_review_analysis!C25</f>
        <v>4.3099999999999996</v>
      </c>
      <c r="D26" s="28">
        <f>raw_data_review_analysis!D25</f>
        <v>606</v>
      </c>
      <c r="E26" s="34">
        <f>raw_data_review_analysis!E25/100</f>
        <v>9.98E-2</v>
      </c>
    </row>
    <row r="27" spans="1:5">
      <c r="A27" s="35" t="str">
        <f>raw_data_review_analysis!A26</f>
        <v>2018-07-01</v>
      </c>
      <c r="B27" s="31">
        <f>raw_data_review_analysis!B26</f>
        <v>6118</v>
      </c>
      <c r="C27" s="36">
        <f>raw_data_review_analysis!C26</f>
        <v>4.32</v>
      </c>
      <c r="D27" s="31">
        <f>raw_data_review_analysis!D26</f>
        <v>591</v>
      </c>
      <c r="E27" s="37">
        <f>raw_data_review_analysis!E26/100</f>
        <v>9.6600000000000005E-2</v>
      </c>
    </row>
    <row r="28" spans="1:5">
      <c r="A28" s="32" t="str">
        <f>raw_data_review_analysis!A27</f>
        <v>2018-08-01</v>
      </c>
      <c r="B28" s="28">
        <f>raw_data_review_analysis!B27</f>
        <v>6330</v>
      </c>
      <c r="C28" s="33">
        <f>raw_data_review_analysis!C27</f>
        <v>4.3099999999999996</v>
      </c>
      <c r="D28" s="28">
        <f>raw_data_review_analysis!D27</f>
        <v>604</v>
      </c>
      <c r="E28" s="34">
        <f>raw_data_review_analysis!E27/100</f>
        <v>9.5399999999999985E-2</v>
      </c>
    </row>
    <row r="30" spans="1:5" ht="16.149999999999999">
      <c r="A30" s="3" t="s">
        <v>119</v>
      </c>
    </row>
    <row r="31" spans="1:5" ht="27.75" customHeight="1">
      <c r="A31" s="4" t="s">
        <v>120</v>
      </c>
      <c r="B31" s="4" t="s">
        <v>115</v>
      </c>
      <c r="C31" s="4" t="s">
        <v>116</v>
      </c>
      <c r="D31" s="4" t="s">
        <v>117</v>
      </c>
      <c r="E31" s="4" t="s">
        <v>118</v>
      </c>
    </row>
    <row r="32" spans="1:5">
      <c r="A32" s="26" t="str">
        <f>raw_data_review_analysis!A31</f>
        <v>Early</v>
      </c>
      <c r="B32" s="28">
        <f>raw_data_review_analysis!B31</f>
        <v>88163</v>
      </c>
      <c r="C32" s="33">
        <f>raw_data_review_analysis!C31</f>
        <v>4.29</v>
      </c>
      <c r="D32" s="28">
        <f>raw_data_review_analysis!D31</f>
        <v>8100</v>
      </c>
      <c r="E32" s="34">
        <f>raw_data_review_analysis!E31/100</f>
        <v>9.1899999999999996E-2</v>
      </c>
    </row>
    <row r="33" spans="1:5">
      <c r="A33" s="29" t="str">
        <f>raw_data_review_analysis!A32</f>
        <v>On Time</v>
      </c>
      <c r="B33" s="31">
        <f>raw_data_review_analysis!B32</f>
        <v>1280</v>
      </c>
      <c r="C33" s="36">
        <f>raw_data_review_analysis!C32</f>
        <v>4.04</v>
      </c>
      <c r="D33" s="31">
        <f>raw_data_review_analysis!D32</f>
        <v>157</v>
      </c>
      <c r="E33" s="37">
        <f>raw_data_review_analysis!E32/100</f>
        <v>0.12269999999999999</v>
      </c>
    </row>
    <row r="34" spans="1:5">
      <c r="A34" s="26" t="str">
        <f>raw_data_review_analysis!A33</f>
        <v>Late</v>
      </c>
      <c r="B34" s="28">
        <f>raw_data_review_analysis!B33</f>
        <v>6381</v>
      </c>
      <c r="C34" s="33">
        <f>raw_data_review_analysis!C33</f>
        <v>2.27</v>
      </c>
      <c r="D34" s="28">
        <f>raw_data_review_analysis!D33</f>
        <v>3979</v>
      </c>
      <c r="E34" s="34">
        <f>raw_data_review_analysis!E33/100</f>
        <v>0.62360000000000004</v>
      </c>
    </row>
    <row r="36" spans="1:5" ht="27.75" customHeight="1">
      <c r="A36" s="54" t="s">
        <v>121</v>
      </c>
      <c r="B36" s="54"/>
      <c r="C36" s="54"/>
      <c r="D36" s="54"/>
      <c r="E36" s="54"/>
    </row>
    <row r="37" spans="1:5" ht="27.75" customHeight="1">
      <c r="A37" s="54" t="s">
        <v>122</v>
      </c>
      <c r="B37" s="54"/>
      <c r="C37" s="54"/>
      <c r="D37" s="54"/>
      <c r="E37" s="54"/>
    </row>
  </sheetData>
  <sheetProtection sheet="1" objects="1" scenarios="1"/>
  <mergeCells count="2">
    <mergeCell ref="A36:E36"/>
    <mergeCell ref="A37:E37"/>
  </mergeCells>
  <conditionalFormatting sqref="C6:C28">
    <cfRule type="cellIs" dxfId="0" priority="2" operator="lessThan">
      <formula>4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"/>
  <sheetViews>
    <sheetView showGridLines="0" zoomScaleNormal="100" workbookViewId="0"/>
  </sheetViews>
  <sheetFormatPr defaultColWidth="8.7109375" defaultRowHeight="15"/>
  <cols>
    <col min="1" max="1" width="15" customWidth="1"/>
    <col min="8" max="8" width="12.28515625" bestFit="1" customWidth="1"/>
    <col min="9" max="9" width="18.7109375" bestFit="1" customWidth="1"/>
    <col min="10" max="10" width="14.42578125" bestFit="1" customWidth="1"/>
    <col min="11" max="11" width="19.140625" bestFit="1" customWidth="1"/>
    <col min="12" max="12" width="22.85546875" bestFit="1" customWidth="1"/>
  </cols>
  <sheetData>
    <row r="1" spans="1:12" ht="19.7">
      <c r="A1" s="16" t="s">
        <v>123</v>
      </c>
    </row>
    <row r="2" spans="1:12">
      <c r="A2" s="9" t="s">
        <v>124</v>
      </c>
    </row>
    <row r="4" spans="1:12">
      <c r="A4" s="46" t="s">
        <v>125</v>
      </c>
      <c r="B4" s="46" t="s">
        <v>126</v>
      </c>
      <c r="C4" s="46" t="s">
        <v>127</v>
      </c>
      <c r="D4" s="46" t="s">
        <v>128</v>
      </c>
      <c r="E4" s="46" t="s">
        <v>129</v>
      </c>
      <c r="F4" s="46" t="s">
        <v>130</v>
      </c>
      <c r="G4" s="46" t="s">
        <v>131</v>
      </c>
      <c r="H4" s="46" t="s">
        <v>132</v>
      </c>
      <c r="I4" s="46" t="s">
        <v>133</v>
      </c>
      <c r="J4" s="46" t="s">
        <v>134</v>
      </c>
      <c r="K4" s="46" t="s">
        <v>135</v>
      </c>
      <c r="L4" s="46" t="s">
        <v>136</v>
      </c>
    </row>
    <row r="5" spans="1:12">
      <c r="A5" s="47">
        <v>42614</v>
      </c>
      <c r="B5" s="48">
        <v>4</v>
      </c>
      <c r="C5" s="48">
        <v>1</v>
      </c>
      <c r="D5" s="48">
        <v>2</v>
      </c>
      <c r="E5" s="48">
        <v>0</v>
      </c>
      <c r="F5" s="48">
        <v>1</v>
      </c>
      <c r="G5" s="48">
        <v>1</v>
      </c>
      <c r="H5" s="48">
        <v>3</v>
      </c>
      <c r="I5" s="49">
        <v>134.97</v>
      </c>
      <c r="J5" s="49">
        <v>8.49</v>
      </c>
      <c r="K5" s="49">
        <v>143.46</v>
      </c>
      <c r="L5" s="49">
        <v>143.46</v>
      </c>
    </row>
    <row r="6" spans="1:12">
      <c r="A6" s="47">
        <v>42644</v>
      </c>
      <c r="B6" s="48">
        <v>324</v>
      </c>
      <c r="C6" s="48">
        <v>265</v>
      </c>
      <c r="D6" s="48">
        <v>24</v>
      </c>
      <c r="E6" s="48">
        <v>7</v>
      </c>
      <c r="F6" s="48">
        <v>28</v>
      </c>
      <c r="G6" s="48">
        <v>265</v>
      </c>
      <c r="H6" s="48">
        <v>313</v>
      </c>
      <c r="I6" s="49">
        <v>40325.11</v>
      </c>
      <c r="J6" s="49">
        <v>6165.55</v>
      </c>
      <c r="K6" s="49">
        <v>46490.66</v>
      </c>
      <c r="L6" s="49">
        <v>175.44</v>
      </c>
    </row>
    <row r="7" spans="1:12">
      <c r="A7" s="47">
        <v>42705</v>
      </c>
      <c r="B7" s="48">
        <v>1</v>
      </c>
      <c r="C7" s="48">
        <v>1</v>
      </c>
      <c r="D7" s="48">
        <v>0</v>
      </c>
      <c r="E7" s="48">
        <v>0</v>
      </c>
      <c r="F7" s="48">
        <v>0</v>
      </c>
      <c r="G7" s="48">
        <v>1</v>
      </c>
      <c r="H7" s="48">
        <v>1</v>
      </c>
      <c r="I7" s="49">
        <v>10.9</v>
      </c>
      <c r="J7" s="49">
        <v>8.7200000000000006</v>
      </c>
      <c r="K7" s="49">
        <v>19.62</v>
      </c>
      <c r="L7" s="49">
        <v>19.62</v>
      </c>
    </row>
    <row r="8" spans="1:12">
      <c r="A8" s="47">
        <v>42736</v>
      </c>
      <c r="B8" s="48">
        <v>800</v>
      </c>
      <c r="C8" s="48">
        <v>750</v>
      </c>
      <c r="D8" s="48">
        <v>3</v>
      </c>
      <c r="E8" s="48">
        <v>10</v>
      </c>
      <c r="F8" s="48">
        <v>37</v>
      </c>
      <c r="G8" s="48">
        <v>750</v>
      </c>
      <c r="H8" s="48">
        <v>913</v>
      </c>
      <c r="I8" s="49">
        <v>111798.36</v>
      </c>
      <c r="J8" s="49">
        <v>15684.01</v>
      </c>
      <c r="K8" s="49">
        <v>127482.37</v>
      </c>
      <c r="L8" s="49">
        <v>169.98</v>
      </c>
    </row>
    <row r="9" spans="1:12">
      <c r="A9" s="47">
        <v>42767</v>
      </c>
      <c r="B9" s="48">
        <v>1780</v>
      </c>
      <c r="C9" s="48">
        <v>1653</v>
      </c>
      <c r="D9" s="48">
        <v>17</v>
      </c>
      <c r="E9" s="48">
        <v>45</v>
      </c>
      <c r="F9" s="48">
        <v>65</v>
      </c>
      <c r="G9" s="48">
        <v>1653</v>
      </c>
      <c r="H9" s="48">
        <v>1858</v>
      </c>
      <c r="I9" s="49">
        <v>234223.4</v>
      </c>
      <c r="J9" s="49">
        <v>37015.919999999998</v>
      </c>
      <c r="K9" s="49">
        <v>271239.32</v>
      </c>
      <c r="L9" s="49">
        <v>164.09</v>
      </c>
    </row>
    <row r="10" spans="1:12">
      <c r="A10" s="47">
        <v>42795</v>
      </c>
      <c r="B10" s="48">
        <v>2682</v>
      </c>
      <c r="C10" s="48">
        <v>2546</v>
      </c>
      <c r="D10" s="48">
        <v>33</v>
      </c>
      <c r="E10" s="48">
        <v>32</v>
      </c>
      <c r="F10" s="48">
        <v>71</v>
      </c>
      <c r="G10" s="48">
        <v>2546</v>
      </c>
      <c r="H10" s="48">
        <v>2897</v>
      </c>
      <c r="I10" s="49">
        <v>359198.85</v>
      </c>
      <c r="J10" s="49">
        <v>55132.1</v>
      </c>
      <c r="K10" s="49">
        <v>414330.95</v>
      </c>
      <c r="L10" s="49">
        <v>162.74</v>
      </c>
    </row>
    <row r="11" spans="1:12">
      <c r="A11" s="47">
        <v>42826</v>
      </c>
      <c r="B11" s="48">
        <v>2404</v>
      </c>
      <c r="C11" s="48">
        <v>2303</v>
      </c>
      <c r="D11" s="48">
        <v>18</v>
      </c>
      <c r="E11" s="48">
        <v>9</v>
      </c>
      <c r="F11" s="48">
        <v>74</v>
      </c>
      <c r="G11" s="48">
        <v>2303</v>
      </c>
      <c r="H11" s="48">
        <v>2569</v>
      </c>
      <c r="I11" s="49">
        <v>340669.68</v>
      </c>
      <c r="J11" s="49">
        <v>50142.720000000001</v>
      </c>
      <c r="K11" s="49">
        <v>390812.4</v>
      </c>
      <c r="L11" s="49">
        <v>169.7</v>
      </c>
    </row>
    <row r="12" spans="1:12">
      <c r="A12" s="47">
        <v>42856</v>
      </c>
      <c r="B12" s="48">
        <v>3700</v>
      </c>
      <c r="C12" s="48">
        <v>3546</v>
      </c>
      <c r="D12" s="48">
        <v>29</v>
      </c>
      <c r="E12" s="48">
        <v>31</v>
      </c>
      <c r="F12" s="48">
        <v>94</v>
      </c>
      <c r="G12" s="48">
        <v>3546</v>
      </c>
      <c r="H12" s="48">
        <v>4004</v>
      </c>
      <c r="I12" s="49">
        <v>489338.25</v>
      </c>
      <c r="J12" s="49">
        <v>77513.149999999994</v>
      </c>
      <c r="K12" s="49">
        <v>566851.4</v>
      </c>
      <c r="L12" s="49">
        <v>159.86000000000001</v>
      </c>
    </row>
    <row r="13" spans="1:12">
      <c r="A13" s="47">
        <v>42887</v>
      </c>
      <c r="B13" s="48">
        <v>3245</v>
      </c>
      <c r="C13" s="48">
        <v>3135</v>
      </c>
      <c r="D13" s="48">
        <v>16</v>
      </c>
      <c r="E13" s="48">
        <v>24</v>
      </c>
      <c r="F13" s="48">
        <v>70</v>
      </c>
      <c r="G13" s="48">
        <v>3135</v>
      </c>
      <c r="H13" s="48">
        <v>3489</v>
      </c>
      <c r="I13" s="49">
        <v>421923.37</v>
      </c>
      <c r="J13" s="49">
        <v>68127</v>
      </c>
      <c r="K13" s="49">
        <v>490050.37</v>
      </c>
      <c r="L13" s="49">
        <v>156.32</v>
      </c>
    </row>
    <row r="14" spans="1:12">
      <c r="A14" s="47">
        <v>42917</v>
      </c>
      <c r="B14" s="48">
        <v>4026</v>
      </c>
      <c r="C14" s="48">
        <v>3872</v>
      </c>
      <c r="D14" s="48">
        <v>28</v>
      </c>
      <c r="E14" s="48">
        <v>52</v>
      </c>
      <c r="F14" s="48">
        <v>74</v>
      </c>
      <c r="G14" s="48">
        <v>3872</v>
      </c>
      <c r="H14" s="48">
        <v>4416</v>
      </c>
      <c r="I14" s="49">
        <v>481604.52</v>
      </c>
      <c r="J14" s="49">
        <v>84694.56</v>
      </c>
      <c r="K14" s="49">
        <v>566299.07999999996</v>
      </c>
      <c r="L14" s="49">
        <v>146.25</v>
      </c>
    </row>
    <row r="15" spans="1:12">
      <c r="A15" s="47">
        <v>42948</v>
      </c>
      <c r="B15" s="48">
        <v>4331</v>
      </c>
      <c r="C15" s="48">
        <v>4193</v>
      </c>
      <c r="D15" s="48">
        <v>27</v>
      </c>
      <c r="E15" s="48">
        <v>32</v>
      </c>
      <c r="F15" s="48">
        <v>79</v>
      </c>
      <c r="G15" s="48">
        <v>4193</v>
      </c>
      <c r="H15" s="48">
        <v>4797</v>
      </c>
      <c r="I15" s="49">
        <v>554699.69999999995</v>
      </c>
      <c r="J15" s="49">
        <v>91132.66</v>
      </c>
      <c r="K15" s="49">
        <v>645832.36</v>
      </c>
      <c r="L15" s="49">
        <v>154.03</v>
      </c>
    </row>
    <row r="16" spans="1:12">
      <c r="A16" s="47">
        <v>42979</v>
      </c>
      <c r="B16" s="48">
        <v>4285</v>
      </c>
      <c r="C16" s="48">
        <v>4150</v>
      </c>
      <c r="D16" s="48">
        <v>20</v>
      </c>
      <c r="E16" s="48">
        <v>38</v>
      </c>
      <c r="F16" s="48">
        <v>77</v>
      </c>
      <c r="G16" s="48">
        <v>4150</v>
      </c>
      <c r="H16" s="48">
        <v>4737</v>
      </c>
      <c r="I16" s="49">
        <v>607399.67000000004</v>
      </c>
      <c r="J16" s="49">
        <v>93677.82</v>
      </c>
      <c r="K16" s="49">
        <v>701077.49</v>
      </c>
      <c r="L16" s="49">
        <v>168.93</v>
      </c>
    </row>
    <row r="17" spans="1:12">
      <c r="A17" s="47">
        <v>43009</v>
      </c>
      <c r="B17" s="48">
        <v>4631</v>
      </c>
      <c r="C17" s="48">
        <v>4478</v>
      </c>
      <c r="D17" s="48">
        <v>26</v>
      </c>
      <c r="E17" s="48">
        <v>58</v>
      </c>
      <c r="F17" s="48">
        <v>69</v>
      </c>
      <c r="G17" s="48">
        <v>4478</v>
      </c>
      <c r="H17" s="48">
        <v>5214</v>
      </c>
      <c r="I17" s="49">
        <v>648247.65</v>
      </c>
      <c r="J17" s="49">
        <v>102869.36</v>
      </c>
      <c r="K17" s="49">
        <v>751117.01</v>
      </c>
      <c r="L17" s="49">
        <v>167.73</v>
      </c>
    </row>
    <row r="18" spans="1:12">
      <c r="A18" s="47">
        <v>43040</v>
      </c>
      <c r="B18" s="48">
        <v>7544</v>
      </c>
      <c r="C18" s="48">
        <v>7289</v>
      </c>
      <c r="D18" s="48">
        <v>37</v>
      </c>
      <c r="E18" s="48">
        <v>84</v>
      </c>
      <c r="F18" s="48">
        <v>134</v>
      </c>
      <c r="G18" s="48">
        <v>7289</v>
      </c>
      <c r="H18" s="48">
        <v>8475</v>
      </c>
      <c r="I18" s="49">
        <v>987765.37</v>
      </c>
      <c r="J18" s="49">
        <v>165598.82999999999</v>
      </c>
      <c r="K18" s="49">
        <v>1153364.2</v>
      </c>
      <c r="L18" s="49">
        <v>158.22999999999999</v>
      </c>
    </row>
    <row r="19" spans="1:12">
      <c r="A19" s="47">
        <v>43070</v>
      </c>
      <c r="B19" s="48">
        <v>5673</v>
      </c>
      <c r="C19" s="48">
        <v>5513</v>
      </c>
      <c r="D19" s="48">
        <v>11</v>
      </c>
      <c r="E19" s="48">
        <v>42</v>
      </c>
      <c r="F19" s="48">
        <v>107</v>
      </c>
      <c r="G19" s="48">
        <v>5513</v>
      </c>
      <c r="H19" s="48">
        <v>6187</v>
      </c>
      <c r="I19" s="49">
        <v>726033.19</v>
      </c>
      <c r="J19" s="49">
        <v>117045.1</v>
      </c>
      <c r="K19" s="49">
        <v>843078.29</v>
      </c>
      <c r="L19" s="49">
        <v>152.93</v>
      </c>
    </row>
    <row r="20" spans="1:12">
      <c r="A20" s="47">
        <v>43101</v>
      </c>
      <c r="B20" s="48">
        <v>7269</v>
      </c>
      <c r="C20" s="48">
        <v>7069</v>
      </c>
      <c r="D20" s="48">
        <v>34</v>
      </c>
      <c r="E20" s="48">
        <v>48</v>
      </c>
      <c r="F20" s="48">
        <v>118</v>
      </c>
      <c r="G20" s="48">
        <v>7069</v>
      </c>
      <c r="H20" s="48">
        <v>8037</v>
      </c>
      <c r="I20" s="49">
        <v>924645</v>
      </c>
      <c r="J20" s="49">
        <v>153242.46</v>
      </c>
      <c r="K20" s="49">
        <v>1077887.46</v>
      </c>
      <c r="L20" s="49">
        <v>152.47999999999999</v>
      </c>
    </row>
    <row r="21" spans="1:12">
      <c r="A21" s="47">
        <v>43132</v>
      </c>
      <c r="B21" s="48">
        <v>6728</v>
      </c>
      <c r="C21" s="48">
        <v>6555</v>
      </c>
      <c r="D21" s="48">
        <v>73</v>
      </c>
      <c r="E21" s="48">
        <v>30</v>
      </c>
      <c r="F21" s="48">
        <v>70</v>
      </c>
      <c r="G21" s="48">
        <v>6555</v>
      </c>
      <c r="H21" s="48">
        <v>7518</v>
      </c>
      <c r="I21" s="49">
        <v>826437.13</v>
      </c>
      <c r="J21" s="49">
        <v>139731.28</v>
      </c>
      <c r="K21" s="49">
        <v>966168.41</v>
      </c>
      <c r="L21" s="49">
        <v>147.38999999999999</v>
      </c>
    </row>
    <row r="22" spans="1:12">
      <c r="A22" s="47">
        <v>43160</v>
      </c>
      <c r="B22" s="48">
        <v>7211</v>
      </c>
      <c r="C22" s="48">
        <v>7003</v>
      </c>
      <c r="D22" s="48">
        <v>26</v>
      </c>
      <c r="E22" s="48">
        <v>17</v>
      </c>
      <c r="F22" s="48">
        <v>165</v>
      </c>
      <c r="G22" s="48">
        <v>7003</v>
      </c>
      <c r="H22" s="48">
        <v>8017</v>
      </c>
      <c r="I22" s="49">
        <v>953356.25</v>
      </c>
      <c r="J22" s="49">
        <v>167241.99</v>
      </c>
      <c r="K22" s="49">
        <v>1120598.24</v>
      </c>
      <c r="L22" s="49">
        <v>160.02000000000001</v>
      </c>
    </row>
    <row r="23" spans="1:12">
      <c r="A23" s="47">
        <v>43191</v>
      </c>
      <c r="B23" s="48">
        <v>6939</v>
      </c>
      <c r="C23" s="48">
        <v>6798</v>
      </c>
      <c r="D23" s="48">
        <v>15</v>
      </c>
      <c r="E23" s="48">
        <v>5</v>
      </c>
      <c r="F23" s="48">
        <v>121</v>
      </c>
      <c r="G23" s="48">
        <v>6798</v>
      </c>
      <c r="H23" s="48">
        <v>7827</v>
      </c>
      <c r="I23" s="49">
        <v>973534.09</v>
      </c>
      <c r="J23" s="49">
        <v>159344.84</v>
      </c>
      <c r="K23" s="49">
        <v>1132878.93</v>
      </c>
      <c r="L23" s="49">
        <v>166.65</v>
      </c>
    </row>
    <row r="24" spans="1:12">
      <c r="A24" s="47">
        <v>43221</v>
      </c>
      <c r="B24" s="48">
        <v>6873</v>
      </c>
      <c r="C24" s="48">
        <v>6749</v>
      </c>
      <c r="D24" s="48">
        <v>24</v>
      </c>
      <c r="E24" s="48">
        <v>16</v>
      </c>
      <c r="F24" s="48">
        <v>84</v>
      </c>
      <c r="G24" s="48">
        <v>6749</v>
      </c>
      <c r="H24" s="48">
        <v>7810</v>
      </c>
      <c r="I24" s="49">
        <v>977544.69</v>
      </c>
      <c r="J24" s="49">
        <v>151229.82999999999</v>
      </c>
      <c r="K24" s="49">
        <v>1128774.52</v>
      </c>
      <c r="L24" s="49">
        <v>167.25</v>
      </c>
    </row>
    <row r="25" spans="1:12">
      <c r="A25" s="47">
        <v>43252</v>
      </c>
      <c r="B25" s="48">
        <v>6167</v>
      </c>
      <c r="C25" s="48">
        <v>6099</v>
      </c>
      <c r="D25" s="48">
        <v>18</v>
      </c>
      <c r="E25" s="48">
        <v>4</v>
      </c>
      <c r="F25" s="48">
        <v>46</v>
      </c>
      <c r="G25" s="48">
        <v>6099</v>
      </c>
      <c r="H25" s="48">
        <v>7010</v>
      </c>
      <c r="I25" s="49">
        <v>856077.86</v>
      </c>
      <c r="J25" s="49">
        <v>155900.43</v>
      </c>
      <c r="K25" s="49">
        <v>1011978.29</v>
      </c>
      <c r="L25" s="49">
        <v>165.93</v>
      </c>
    </row>
    <row r="26" spans="1:12">
      <c r="A26" s="47">
        <v>43282</v>
      </c>
      <c r="B26" s="48">
        <v>6292</v>
      </c>
      <c r="C26" s="48">
        <v>6159</v>
      </c>
      <c r="D26" s="48">
        <v>41</v>
      </c>
      <c r="E26" s="48">
        <v>18</v>
      </c>
      <c r="F26" s="48">
        <v>74</v>
      </c>
      <c r="G26" s="48">
        <v>6159</v>
      </c>
      <c r="H26" s="48">
        <v>6963</v>
      </c>
      <c r="I26" s="49">
        <v>867953.46</v>
      </c>
      <c r="J26" s="49">
        <v>159853.82</v>
      </c>
      <c r="K26" s="49">
        <v>1027807.28</v>
      </c>
      <c r="L26" s="49">
        <v>166.88</v>
      </c>
    </row>
    <row r="27" spans="1:12">
      <c r="A27" s="47">
        <v>43313</v>
      </c>
      <c r="B27" s="48">
        <v>6512</v>
      </c>
      <c r="C27" s="48">
        <v>6351</v>
      </c>
      <c r="D27" s="48">
        <v>84</v>
      </c>
      <c r="E27" s="48">
        <v>7</v>
      </c>
      <c r="F27" s="48">
        <v>70</v>
      </c>
      <c r="G27" s="48">
        <v>6351</v>
      </c>
      <c r="H27" s="48">
        <v>7142</v>
      </c>
      <c r="I27" s="49">
        <v>838576.64000000001</v>
      </c>
      <c r="J27" s="49">
        <v>146915</v>
      </c>
      <c r="K27" s="49">
        <v>985491.64</v>
      </c>
      <c r="L27" s="49">
        <v>155.16999999999999</v>
      </c>
    </row>
    <row r="28" spans="1:12">
      <c r="A28" s="47">
        <v>43344</v>
      </c>
      <c r="B28" s="48">
        <v>16</v>
      </c>
      <c r="C28" s="48">
        <v>0</v>
      </c>
      <c r="D28" s="48">
        <v>15</v>
      </c>
      <c r="E28" s="48">
        <v>0</v>
      </c>
      <c r="F28" s="48">
        <v>1</v>
      </c>
      <c r="G28" s="48">
        <v>0</v>
      </c>
      <c r="H28" s="48">
        <v>0</v>
      </c>
      <c r="I28" s="49">
        <v>0</v>
      </c>
      <c r="J28" s="49">
        <v>0</v>
      </c>
      <c r="K28" s="49">
        <v>0</v>
      </c>
      <c r="L28" s="49">
        <v>0</v>
      </c>
    </row>
    <row r="29" spans="1:12">
      <c r="A29" s="47">
        <v>43374</v>
      </c>
      <c r="B29" s="48">
        <v>4</v>
      </c>
      <c r="C29" s="48">
        <v>0</v>
      </c>
      <c r="D29" s="48">
        <v>4</v>
      </c>
      <c r="E29" s="48">
        <v>0</v>
      </c>
      <c r="F29" s="48">
        <v>0</v>
      </c>
      <c r="G29" s="48">
        <v>0</v>
      </c>
      <c r="H29" s="48">
        <v>0</v>
      </c>
      <c r="I29" s="49">
        <v>0</v>
      </c>
      <c r="J29" s="49">
        <v>0</v>
      </c>
      <c r="K29" s="49">
        <v>0</v>
      </c>
      <c r="L29" s="49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8"/>
  <sheetViews>
    <sheetView showGridLines="0" zoomScaleNormal="100" workbookViewId="0"/>
  </sheetViews>
  <sheetFormatPr defaultColWidth="8.7109375" defaultRowHeight="15"/>
  <cols>
    <col min="1" max="7" width="16" customWidth="1"/>
  </cols>
  <sheetData>
    <row r="1" spans="1:7" ht="19.7">
      <c r="A1" s="16" t="s">
        <v>137</v>
      </c>
    </row>
    <row r="2" spans="1:7">
      <c r="A2" s="54" t="s">
        <v>138</v>
      </c>
      <c r="B2" s="54"/>
      <c r="C2" s="54"/>
      <c r="D2" s="54"/>
      <c r="E2" s="54"/>
      <c r="F2" s="54"/>
      <c r="G2" s="54"/>
    </row>
    <row r="4" spans="1:7" ht="27.75" customHeight="1">
      <c r="A4" s="4" t="s">
        <v>139</v>
      </c>
      <c r="B4" s="4" t="s">
        <v>127</v>
      </c>
      <c r="C4" s="4" t="s">
        <v>132</v>
      </c>
      <c r="D4" s="4" t="s">
        <v>133</v>
      </c>
      <c r="E4" s="4" t="s">
        <v>134</v>
      </c>
      <c r="F4" s="4" t="s">
        <v>135</v>
      </c>
      <c r="G4" s="4" t="s">
        <v>140</v>
      </c>
    </row>
    <row r="5" spans="1:7">
      <c r="A5" s="44" t="s">
        <v>141</v>
      </c>
      <c r="B5" s="48">
        <v>8647</v>
      </c>
      <c r="C5" s="48">
        <v>9465</v>
      </c>
      <c r="D5" s="49">
        <v>1233131.72</v>
      </c>
      <c r="E5" s="49">
        <v>178957.81</v>
      </c>
      <c r="F5" s="49">
        <v>1412089.53</v>
      </c>
      <c r="G5" s="49">
        <v>163.30000000000001</v>
      </c>
    </row>
    <row r="6" spans="1:7">
      <c r="A6" s="44" t="s">
        <v>142</v>
      </c>
      <c r="B6" s="48">
        <v>5495</v>
      </c>
      <c r="C6" s="48">
        <v>5859</v>
      </c>
      <c r="D6" s="49">
        <v>1166176.98</v>
      </c>
      <c r="E6" s="49">
        <v>98156.14</v>
      </c>
      <c r="F6" s="49">
        <v>1264333.1200000001</v>
      </c>
      <c r="G6" s="49">
        <v>230.09</v>
      </c>
    </row>
    <row r="7" spans="1:7">
      <c r="A7" s="44" t="s">
        <v>143</v>
      </c>
      <c r="B7" s="48">
        <v>9272</v>
      </c>
      <c r="C7" s="48">
        <v>10953</v>
      </c>
      <c r="D7" s="49">
        <v>1023434.76</v>
      </c>
      <c r="E7" s="49">
        <v>201774.5</v>
      </c>
      <c r="F7" s="49">
        <v>1225209.26</v>
      </c>
      <c r="G7" s="49">
        <v>132.13999999999999</v>
      </c>
    </row>
    <row r="8" spans="1:7">
      <c r="A8" s="44" t="s">
        <v>144</v>
      </c>
      <c r="B8" s="48">
        <v>7530</v>
      </c>
      <c r="C8" s="48">
        <v>8431</v>
      </c>
      <c r="D8" s="49">
        <v>954852.55</v>
      </c>
      <c r="E8" s="49">
        <v>163404.35999999999</v>
      </c>
      <c r="F8" s="49">
        <v>1118256.9099999999</v>
      </c>
      <c r="G8" s="49">
        <v>148.51</v>
      </c>
    </row>
    <row r="9" spans="1:7">
      <c r="A9" s="44" t="s">
        <v>145</v>
      </c>
      <c r="B9" s="48">
        <v>6530</v>
      </c>
      <c r="C9" s="48">
        <v>7644</v>
      </c>
      <c r="D9" s="49">
        <v>888724.61</v>
      </c>
      <c r="E9" s="49">
        <v>143999.16</v>
      </c>
      <c r="F9" s="49">
        <v>1032723.77</v>
      </c>
      <c r="G9" s="49">
        <v>158.15</v>
      </c>
    </row>
    <row r="10" spans="1:7">
      <c r="A10" s="44" t="s">
        <v>146</v>
      </c>
      <c r="B10" s="48">
        <v>6307</v>
      </c>
      <c r="C10" s="48">
        <v>8160</v>
      </c>
      <c r="D10" s="49">
        <v>711927.69</v>
      </c>
      <c r="E10" s="49">
        <v>168402.23</v>
      </c>
      <c r="F10" s="49">
        <v>880329.92</v>
      </c>
      <c r="G10" s="49">
        <v>139.58000000000001</v>
      </c>
    </row>
    <row r="11" spans="1:7">
      <c r="A11" s="44" t="s">
        <v>147</v>
      </c>
      <c r="B11" s="48">
        <v>5743</v>
      </c>
      <c r="C11" s="48">
        <v>6795</v>
      </c>
      <c r="D11" s="49">
        <v>615628.68999999994</v>
      </c>
      <c r="E11" s="49">
        <v>142763.56</v>
      </c>
      <c r="F11" s="49">
        <v>758392.25</v>
      </c>
      <c r="G11" s="49">
        <v>132.06</v>
      </c>
    </row>
    <row r="12" spans="1:7">
      <c r="A12" s="44" t="s">
        <v>148</v>
      </c>
      <c r="B12" s="48">
        <v>3559</v>
      </c>
      <c r="C12" s="48">
        <v>3718</v>
      </c>
      <c r="D12" s="49">
        <v>610204.1</v>
      </c>
      <c r="E12" s="49">
        <v>81476.789999999994</v>
      </c>
      <c r="F12" s="49">
        <v>691680.89</v>
      </c>
      <c r="G12" s="49">
        <v>194.35</v>
      </c>
    </row>
    <row r="13" spans="1:7">
      <c r="A13" s="44" t="s">
        <v>149</v>
      </c>
      <c r="B13" s="48">
        <v>3810</v>
      </c>
      <c r="C13" s="48">
        <v>4140</v>
      </c>
      <c r="D13" s="49">
        <v>578966.65</v>
      </c>
      <c r="E13" s="49">
        <v>90488.1</v>
      </c>
      <c r="F13" s="49">
        <v>669454.75</v>
      </c>
      <c r="G13" s="49">
        <v>175.71</v>
      </c>
    </row>
    <row r="14" spans="1:7">
      <c r="A14" s="44" t="s">
        <v>150</v>
      </c>
      <c r="B14" s="48">
        <v>3448</v>
      </c>
      <c r="C14" s="48">
        <v>4268</v>
      </c>
      <c r="D14" s="49">
        <v>470495.28</v>
      </c>
      <c r="E14" s="49">
        <v>96650.4</v>
      </c>
      <c r="F14" s="49">
        <v>567145.68000000005</v>
      </c>
      <c r="G14" s="49">
        <v>164.49</v>
      </c>
    </row>
    <row r="15" spans="1:7">
      <c r="A15" s="44" t="s">
        <v>151</v>
      </c>
      <c r="B15" s="48">
        <v>3804</v>
      </c>
      <c r="C15" s="48">
        <v>4030</v>
      </c>
      <c r="D15" s="49">
        <v>471286.48</v>
      </c>
      <c r="E15" s="49">
        <v>75774.58</v>
      </c>
      <c r="F15" s="49">
        <v>547061.06000000006</v>
      </c>
      <c r="G15" s="49">
        <v>143.81</v>
      </c>
    </row>
    <row r="16" spans="1:7">
      <c r="A16" s="44" t="s">
        <v>152</v>
      </c>
      <c r="B16" s="48">
        <v>2809</v>
      </c>
      <c r="C16" s="48">
        <v>2982</v>
      </c>
      <c r="D16" s="49">
        <v>400421.84</v>
      </c>
      <c r="E16" s="49">
        <v>66305.81</v>
      </c>
      <c r="F16" s="49">
        <v>466727.65</v>
      </c>
      <c r="G16" s="49">
        <v>166.15</v>
      </c>
    </row>
    <row r="17" spans="1:7">
      <c r="A17" s="44" t="s">
        <v>153</v>
      </c>
      <c r="B17" s="48">
        <v>3086</v>
      </c>
      <c r="C17" s="48">
        <v>3340</v>
      </c>
      <c r="D17" s="49">
        <v>390144.65</v>
      </c>
      <c r="E17" s="49">
        <v>53026.98</v>
      </c>
      <c r="F17" s="49">
        <v>443171.63</v>
      </c>
      <c r="G17" s="49">
        <v>143.61000000000001</v>
      </c>
    </row>
    <row r="18" spans="1:7">
      <c r="A18" s="44" t="s">
        <v>154</v>
      </c>
      <c r="B18" s="48">
        <v>4093</v>
      </c>
      <c r="C18" s="48">
        <v>4430</v>
      </c>
      <c r="D18" s="49">
        <v>309860.23</v>
      </c>
      <c r="E18" s="49">
        <v>69342.39</v>
      </c>
      <c r="F18" s="49">
        <v>379202.62</v>
      </c>
      <c r="G18" s="49">
        <v>92.65</v>
      </c>
    </row>
    <row r="19" spans="1:7">
      <c r="A19" s="44" t="s">
        <v>155</v>
      </c>
      <c r="B19" s="48">
        <v>1254</v>
      </c>
      <c r="C19" s="48">
        <v>1668</v>
      </c>
      <c r="D19" s="49">
        <v>268154.31</v>
      </c>
      <c r="E19" s="49">
        <v>67057.05</v>
      </c>
      <c r="F19" s="49">
        <v>335211.36</v>
      </c>
      <c r="G19" s="49">
        <v>267.31</v>
      </c>
    </row>
    <row r="20" spans="1:7">
      <c r="A20" s="44" t="s">
        <v>156</v>
      </c>
      <c r="B20" s="48">
        <v>2264</v>
      </c>
      <c r="C20" s="48">
        <v>2466</v>
      </c>
      <c r="D20" s="49">
        <v>223788.69</v>
      </c>
      <c r="E20" s="49">
        <v>45786.36</v>
      </c>
      <c r="F20" s="49">
        <v>269575.05</v>
      </c>
      <c r="G20" s="49">
        <v>119.07</v>
      </c>
    </row>
    <row r="21" spans="1:7">
      <c r="A21" s="44" t="s">
        <v>157</v>
      </c>
      <c r="B21" s="48">
        <v>1688</v>
      </c>
      <c r="C21" s="48">
        <v>1924</v>
      </c>
      <c r="D21" s="49">
        <v>211695.64</v>
      </c>
      <c r="E21" s="49">
        <v>38918.559999999998</v>
      </c>
      <c r="F21" s="49">
        <v>250614.2</v>
      </c>
      <c r="G21" s="49">
        <v>148.47</v>
      </c>
    </row>
    <row r="22" spans="1:7">
      <c r="A22" s="44" t="s">
        <v>158</v>
      </c>
      <c r="B22" s="48">
        <v>177</v>
      </c>
      <c r="C22" s="48">
        <v>199</v>
      </c>
      <c r="D22" s="49">
        <v>218684.14</v>
      </c>
      <c r="E22" s="49">
        <v>9665.6200000000008</v>
      </c>
      <c r="F22" s="49">
        <v>228349.76</v>
      </c>
      <c r="G22" s="49">
        <v>1290.1099999999999</v>
      </c>
    </row>
    <row r="23" spans="1:7">
      <c r="A23" s="44" t="s">
        <v>159</v>
      </c>
      <c r="B23" s="48">
        <v>611</v>
      </c>
      <c r="C23" s="48">
        <v>651</v>
      </c>
      <c r="D23" s="49">
        <v>184315.74</v>
      </c>
      <c r="E23" s="49">
        <v>17871.38</v>
      </c>
      <c r="F23" s="49">
        <v>202187.12</v>
      </c>
      <c r="G23" s="49">
        <v>330.91</v>
      </c>
    </row>
    <row r="24" spans="1:7">
      <c r="A24" s="44" t="s">
        <v>160</v>
      </c>
      <c r="B24" s="48">
        <v>2517</v>
      </c>
      <c r="C24" s="48">
        <v>2729</v>
      </c>
      <c r="D24" s="49">
        <v>155043.93</v>
      </c>
      <c r="E24" s="49">
        <v>45679.16</v>
      </c>
      <c r="F24" s="49">
        <v>200723.09</v>
      </c>
      <c r="G24" s="49">
        <v>79.75</v>
      </c>
    </row>
    <row r="25" spans="1:7">
      <c r="A25" s="44" t="s">
        <v>161</v>
      </c>
      <c r="B25" s="48">
        <v>609</v>
      </c>
      <c r="C25" s="48">
        <v>658</v>
      </c>
      <c r="D25" s="49">
        <v>182754.12</v>
      </c>
      <c r="E25" s="49">
        <v>15354.35</v>
      </c>
      <c r="F25" s="49">
        <v>198108.47</v>
      </c>
      <c r="G25" s="49">
        <v>325.3</v>
      </c>
    </row>
    <row r="26" spans="1:7">
      <c r="A26" s="44" t="s">
        <v>162</v>
      </c>
      <c r="B26" s="48">
        <v>1392</v>
      </c>
      <c r="C26" s="48">
        <v>1537</v>
      </c>
      <c r="D26" s="49">
        <v>170726.63</v>
      </c>
      <c r="E26" s="49">
        <v>26969.06</v>
      </c>
      <c r="F26" s="49">
        <v>197695.69</v>
      </c>
      <c r="G26" s="49">
        <v>142.02000000000001</v>
      </c>
    </row>
    <row r="27" spans="1:7">
      <c r="A27" s="44" t="s">
        <v>163</v>
      </c>
      <c r="B27" s="48">
        <v>1820</v>
      </c>
      <c r="C27" s="48">
        <v>1985</v>
      </c>
      <c r="D27" s="49">
        <v>149329.39000000001</v>
      </c>
      <c r="E27" s="49">
        <v>30558.9</v>
      </c>
      <c r="F27" s="49">
        <v>179888.29</v>
      </c>
      <c r="G27" s="49">
        <v>98.84</v>
      </c>
    </row>
    <row r="28" spans="1:7">
      <c r="A28" s="44" t="s">
        <v>164</v>
      </c>
      <c r="B28" s="48">
        <v>1019</v>
      </c>
      <c r="C28" s="48">
        <v>1077</v>
      </c>
      <c r="D28" s="49">
        <v>138701.63</v>
      </c>
      <c r="E28" s="49">
        <v>30076.49</v>
      </c>
      <c r="F28" s="49">
        <v>168778.12</v>
      </c>
      <c r="G28" s="49">
        <v>165.63</v>
      </c>
    </row>
    <row r="29" spans="1:7">
      <c r="A29" s="44" t="s">
        <v>165</v>
      </c>
      <c r="B29" s="48">
        <v>1018</v>
      </c>
      <c r="C29" s="48">
        <v>1089</v>
      </c>
      <c r="D29" s="49">
        <v>148003.37</v>
      </c>
      <c r="E29" s="49">
        <v>19094.36</v>
      </c>
      <c r="F29" s="49">
        <v>167097.73000000001</v>
      </c>
      <c r="G29" s="49">
        <v>164.14</v>
      </c>
    </row>
    <row r="30" spans="1:7">
      <c r="A30" s="44" t="s">
        <v>166</v>
      </c>
      <c r="B30" s="48">
        <v>736</v>
      </c>
      <c r="C30" s="48">
        <v>916</v>
      </c>
      <c r="D30" s="49">
        <v>142108.49</v>
      </c>
      <c r="E30" s="49">
        <v>20273.52</v>
      </c>
      <c r="F30" s="49">
        <v>162382.01</v>
      </c>
      <c r="G30" s="49">
        <v>220.63</v>
      </c>
    </row>
    <row r="31" spans="1:7">
      <c r="A31" s="44" t="s">
        <v>167</v>
      </c>
      <c r="B31" s="48">
        <v>227</v>
      </c>
      <c r="C31" s="48">
        <v>231</v>
      </c>
      <c r="D31" s="49">
        <v>107953.95</v>
      </c>
      <c r="E31" s="49">
        <v>10254.57</v>
      </c>
      <c r="F31" s="49">
        <v>118208.52</v>
      </c>
      <c r="G31" s="49">
        <v>520.74</v>
      </c>
    </row>
    <row r="32" spans="1:7">
      <c r="A32" s="44" t="s">
        <v>168</v>
      </c>
      <c r="B32" s="48">
        <v>483</v>
      </c>
      <c r="C32" s="48">
        <v>596</v>
      </c>
      <c r="D32" s="49">
        <v>81407.570000000007</v>
      </c>
      <c r="E32" s="49">
        <v>13614.8</v>
      </c>
      <c r="F32" s="49">
        <v>95022.37</v>
      </c>
      <c r="G32" s="49">
        <v>196.73</v>
      </c>
    </row>
    <row r="33" spans="1:7">
      <c r="A33" s="44" t="s">
        <v>169</v>
      </c>
      <c r="B33" s="48">
        <v>747</v>
      </c>
      <c r="C33" s="48">
        <v>754</v>
      </c>
      <c r="D33" s="49">
        <v>78832.479999999996</v>
      </c>
      <c r="E33" s="49">
        <v>14469.3</v>
      </c>
      <c r="F33" s="49">
        <v>93301.78</v>
      </c>
      <c r="G33" s="49">
        <v>124.9</v>
      </c>
    </row>
    <row r="34" spans="1:7">
      <c r="A34" s="44" t="s">
        <v>170</v>
      </c>
      <c r="B34" s="48">
        <v>414</v>
      </c>
      <c r="C34" s="48">
        <v>495</v>
      </c>
      <c r="D34" s="49">
        <v>67350.7</v>
      </c>
      <c r="E34" s="49">
        <v>17694.37</v>
      </c>
      <c r="F34" s="49">
        <v>85045.07</v>
      </c>
      <c r="G34" s="49">
        <v>205.42</v>
      </c>
    </row>
    <row r="35" spans="1:7">
      <c r="A35" s="44" t="s">
        <v>171</v>
      </c>
      <c r="B35" s="48">
        <v>177</v>
      </c>
      <c r="C35" s="48">
        <v>206</v>
      </c>
      <c r="D35" s="49">
        <v>70566.100000000006</v>
      </c>
      <c r="E35" s="49">
        <v>5637.2</v>
      </c>
      <c r="F35" s="49">
        <v>76203.3</v>
      </c>
      <c r="G35" s="49">
        <v>430.53</v>
      </c>
    </row>
    <row r="36" spans="1:7">
      <c r="A36" s="44" t="s">
        <v>172</v>
      </c>
      <c r="B36" s="48">
        <v>392</v>
      </c>
      <c r="C36" s="48">
        <v>429</v>
      </c>
      <c r="D36" s="49">
        <v>58008.45</v>
      </c>
      <c r="E36" s="49">
        <v>8429.77</v>
      </c>
      <c r="F36" s="49">
        <v>66438.22</v>
      </c>
      <c r="G36" s="49">
        <v>169.49</v>
      </c>
    </row>
    <row r="37" spans="1:7">
      <c r="A37" s="44" t="s">
        <v>173</v>
      </c>
      <c r="B37" s="48">
        <v>246</v>
      </c>
      <c r="C37" s="48">
        <v>289</v>
      </c>
      <c r="D37" s="49">
        <v>53323.56</v>
      </c>
      <c r="E37" s="49">
        <v>6530.99</v>
      </c>
      <c r="F37" s="49">
        <v>59854.55</v>
      </c>
      <c r="G37" s="49">
        <v>243.31</v>
      </c>
    </row>
    <row r="38" spans="1:7">
      <c r="A38" s="44" t="s">
        <v>174</v>
      </c>
      <c r="B38" s="48">
        <v>212</v>
      </c>
      <c r="C38" s="48">
        <v>255</v>
      </c>
      <c r="D38" s="49">
        <v>55315.21</v>
      </c>
      <c r="E38" s="49">
        <v>4501.33</v>
      </c>
      <c r="F38" s="49">
        <v>59816.54</v>
      </c>
      <c r="G38" s="49">
        <v>282.14999999999998</v>
      </c>
    </row>
    <row r="39" spans="1:7">
      <c r="A39" s="44" t="s">
        <v>175</v>
      </c>
      <c r="B39" s="48">
        <v>241</v>
      </c>
      <c r="C39" s="48">
        <v>274</v>
      </c>
      <c r="D39" s="49">
        <v>45531.98</v>
      </c>
      <c r="E39" s="49">
        <v>11540.99</v>
      </c>
      <c r="F39" s="49">
        <v>57072.97</v>
      </c>
      <c r="G39" s="49">
        <v>236.82</v>
      </c>
    </row>
    <row r="40" spans="1:7">
      <c r="A40" s="44" t="s">
        <v>176</v>
      </c>
      <c r="B40" s="48">
        <v>348</v>
      </c>
      <c r="C40" s="48">
        <v>362</v>
      </c>
      <c r="D40" s="49">
        <v>50570.6</v>
      </c>
      <c r="E40" s="49">
        <v>5684.72</v>
      </c>
      <c r="F40" s="49">
        <v>56255.32</v>
      </c>
      <c r="G40" s="49">
        <v>161.65</v>
      </c>
    </row>
    <row r="41" spans="1:7">
      <c r="A41" s="44" t="s">
        <v>177</v>
      </c>
      <c r="B41" s="48">
        <v>496</v>
      </c>
      <c r="C41" s="48">
        <v>537</v>
      </c>
      <c r="D41" s="49">
        <v>45302.15</v>
      </c>
      <c r="E41" s="49">
        <v>8880.39</v>
      </c>
      <c r="F41" s="49">
        <v>54182.54</v>
      </c>
      <c r="G41" s="49">
        <v>109.24</v>
      </c>
    </row>
    <row r="42" spans="1:7">
      <c r="A42" s="44" t="s">
        <v>178</v>
      </c>
      <c r="B42" s="48">
        <v>72</v>
      </c>
      <c r="C42" s="48">
        <v>73</v>
      </c>
      <c r="D42" s="49">
        <v>46589.56</v>
      </c>
      <c r="E42" s="49">
        <v>2656.34</v>
      </c>
      <c r="F42" s="49">
        <v>49245.9</v>
      </c>
      <c r="G42" s="49">
        <v>683.97</v>
      </c>
    </row>
    <row r="43" spans="1:7">
      <c r="A43" s="44" t="s">
        <v>179</v>
      </c>
      <c r="B43" s="48">
        <v>242</v>
      </c>
      <c r="C43" s="48">
        <v>301</v>
      </c>
      <c r="D43" s="49">
        <v>39957</v>
      </c>
      <c r="E43" s="49">
        <v>7490.14</v>
      </c>
      <c r="F43" s="49">
        <v>47447.14</v>
      </c>
      <c r="G43" s="49">
        <v>196.06</v>
      </c>
    </row>
    <row r="44" spans="1:7">
      <c r="A44" s="44" t="s">
        <v>180</v>
      </c>
      <c r="B44" s="48">
        <v>232</v>
      </c>
      <c r="C44" s="48">
        <v>265</v>
      </c>
      <c r="D44" s="49">
        <v>38498.81</v>
      </c>
      <c r="E44" s="49">
        <v>7580.53</v>
      </c>
      <c r="F44" s="49">
        <v>46079.34</v>
      </c>
      <c r="G44" s="49">
        <v>198.62</v>
      </c>
    </row>
    <row r="45" spans="1:7">
      <c r="A45" s="44" t="s">
        <v>181</v>
      </c>
      <c r="B45" s="48">
        <v>159</v>
      </c>
      <c r="C45" s="48">
        <v>183</v>
      </c>
      <c r="D45" s="49">
        <v>38773.22</v>
      </c>
      <c r="E45" s="49">
        <v>3730.8</v>
      </c>
      <c r="F45" s="49">
        <v>42504.02</v>
      </c>
      <c r="G45" s="49">
        <v>267.32</v>
      </c>
    </row>
    <row r="46" spans="1:7">
      <c r="A46" s="44" t="s">
        <v>182</v>
      </c>
      <c r="B46" s="48">
        <v>441</v>
      </c>
      <c r="C46" s="48">
        <v>499</v>
      </c>
      <c r="D46" s="49">
        <v>28731.15</v>
      </c>
      <c r="E46" s="49">
        <v>7063.53</v>
      </c>
      <c r="F46" s="49">
        <v>35794.68</v>
      </c>
      <c r="G46" s="49">
        <v>81.17</v>
      </c>
    </row>
    <row r="47" spans="1:7">
      <c r="A47" s="44" t="s">
        <v>183</v>
      </c>
      <c r="B47" s="48">
        <v>274</v>
      </c>
      <c r="C47" s="48">
        <v>305</v>
      </c>
      <c r="D47" s="49">
        <v>27795.77</v>
      </c>
      <c r="E47" s="49">
        <v>5318.61</v>
      </c>
      <c r="F47" s="49">
        <v>33114.379999999997</v>
      </c>
      <c r="G47" s="49">
        <v>120.86</v>
      </c>
    </row>
    <row r="48" spans="1:7">
      <c r="A48" s="44" t="s">
        <v>184</v>
      </c>
      <c r="B48" s="48">
        <v>190</v>
      </c>
      <c r="C48" s="48">
        <v>232</v>
      </c>
      <c r="D48" s="49">
        <v>25096.28</v>
      </c>
      <c r="E48" s="49">
        <v>5187.66</v>
      </c>
      <c r="F48" s="49">
        <v>30283.94</v>
      </c>
      <c r="G48" s="49">
        <v>159.38999999999999</v>
      </c>
    </row>
    <row r="49" spans="1:7">
      <c r="A49" s="44" t="s">
        <v>185</v>
      </c>
      <c r="B49" s="48">
        <v>235</v>
      </c>
      <c r="C49" s="48">
        <v>257</v>
      </c>
      <c r="D49" s="49">
        <v>23001.46</v>
      </c>
      <c r="E49" s="49">
        <v>4813.37</v>
      </c>
      <c r="F49" s="49">
        <v>27814.83</v>
      </c>
      <c r="G49" s="49">
        <v>118.36</v>
      </c>
    </row>
    <row r="50" spans="1:7">
      <c r="A50" s="44" t="s">
        <v>186</v>
      </c>
      <c r="B50" s="48">
        <v>138</v>
      </c>
      <c r="C50" s="48">
        <v>197</v>
      </c>
      <c r="D50" s="49">
        <v>21315.05</v>
      </c>
      <c r="E50" s="49">
        <v>6477.54</v>
      </c>
      <c r="F50" s="49">
        <v>27792.59</v>
      </c>
      <c r="G50" s="49">
        <v>201.4</v>
      </c>
    </row>
    <row r="51" spans="1:7">
      <c r="A51" s="44" t="s">
        <v>187</v>
      </c>
      <c r="B51" s="48">
        <v>195</v>
      </c>
      <c r="C51" s="48">
        <v>197</v>
      </c>
      <c r="D51" s="49">
        <v>23657.3</v>
      </c>
      <c r="E51" s="49">
        <v>3828.23</v>
      </c>
      <c r="F51" s="49">
        <v>27485.53</v>
      </c>
      <c r="G51" s="49">
        <v>140.94999999999999</v>
      </c>
    </row>
    <row r="52" spans="1:7">
      <c r="A52" s="44" t="s">
        <v>188</v>
      </c>
      <c r="B52" s="48">
        <v>287</v>
      </c>
      <c r="C52" s="48">
        <v>361</v>
      </c>
      <c r="D52" s="49">
        <v>21529.84</v>
      </c>
      <c r="E52" s="49">
        <v>5441.27</v>
      </c>
      <c r="F52" s="49">
        <v>26971.11</v>
      </c>
      <c r="G52" s="49">
        <v>93.98</v>
      </c>
    </row>
    <row r="53" spans="1:7">
      <c r="A53" s="44" t="s">
        <v>189</v>
      </c>
      <c r="B53" s="48">
        <v>90</v>
      </c>
      <c r="C53" s="48">
        <v>103</v>
      </c>
      <c r="D53" s="49">
        <v>19051.8</v>
      </c>
      <c r="E53" s="49">
        <v>4327.42</v>
      </c>
      <c r="F53" s="49">
        <v>23379.22</v>
      </c>
      <c r="G53" s="49">
        <v>259.77</v>
      </c>
    </row>
    <row r="54" spans="1:7">
      <c r="A54" s="44" t="s">
        <v>190</v>
      </c>
      <c r="B54" s="48">
        <v>256</v>
      </c>
      <c r="C54" s="48">
        <v>263</v>
      </c>
      <c r="D54" s="49">
        <v>18702.23</v>
      </c>
      <c r="E54" s="49">
        <v>4198.84</v>
      </c>
      <c r="F54" s="49">
        <v>22901.07</v>
      </c>
      <c r="G54" s="49">
        <v>89.46</v>
      </c>
    </row>
    <row r="55" spans="1:7">
      <c r="A55" s="44" t="s">
        <v>191</v>
      </c>
      <c r="B55" s="48">
        <v>221</v>
      </c>
      <c r="C55" s="48">
        <v>269</v>
      </c>
      <c r="D55" s="49">
        <v>14942.88</v>
      </c>
      <c r="E55" s="49">
        <v>4394.8900000000003</v>
      </c>
      <c r="F55" s="49">
        <v>19337.77</v>
      </c>
      <c r="G55" s="49">
        <v>87.5</v>
      </c>
    </row>
    <row r="56" spans="1:7">
      <c r="A56" s="44" t="s">
        <v>192</v>
      </c>
      <c r="B56" s="48">
        <v>97</v>
      </c>
      <c r="C56" s="48">
        <v>103</v>
      </c>
      <c r="D56" s="49">
        <v>15903.95</v>
      </c>
      <c r="E56" s="49">
        <v>2030.22</v>
      </c>
      <c r="F56" s="49">
        <v>17934.169999999998</v>
      </c>
      <c r="G56" s="49">
        <v>184.89</v>
      </c>
    </row>
    <row r="57" spans="1:7">
      <c r="A57" s="44" t="s">
        <v>193</v>
      </c>
      <c r="B57" s="48">
        <v>106</v>
      </c>
      <c r="C57" s="48">
        <v>125</v>
      </c>
      <c r="D57" s="49">
        <v>10452.33</v>
      </c>
      <c r="E57" s="49">
        <v>2062.62</v>
      </c>
      <c r="F57" s="49">
        <v>12514.95</v>
      </c>
      <c r="G57" s="49">
        <v>118.07</v>
      </c>
    </row>
    <row r="58" spans="1:7">
      <c r="A58" s="44" t="s">
        <v>194</v>
      </c>
      <c r="B58" s="48">
        <v>125</v>
      </c>
      <c r="C58" s="48">
        <v>150</v>
      </c>
      <c r="D58" s="49">
        <v>8737.84</v>
      </c>
      <c r="E58" s="49">
        <v>3190.91</v>
      </c>
      <c r="F58" s="49">
        <v>11928.75</v>
      </c>
      <c r="G58" s="49">
        <v>95.43</v>
      </c>
    </row>
    <row r="59" spans="1:7">
      <c r="A59" s="44" t="s">
        <v>195</v>
      </c>
      <c r="B59" s="48">
        <v>117</v>
      </c>
      <c r="C59" s="48">
        <v>127</v>
      </c>
      <c r="D59" s="49">
        <v>9305.9500000000007</v>
      </c>
      <c r="E59" s="49">
        <v>1854.07</v>
      </c>
      <c r="F59" s="49">
        <v>11160.02</v>
      </c>
      <c r="G59" s="49">
        <v>95.38</v>
      </c>
    </row>
    <row r="60" spans="1:7">
      <c r="A60" s="44" t="s">
        <v>196</v>
      </c>
      <c r="B60" s="48">
        <v>79</v>
      </c>
      <c r="C60" s="48">
        <v>83</v>
      </c>
      <c r="D60" s="49">
        <v>7528.41</v>
      </c>
      <c r="E60" s="49">
        <v>1226.2</v>
      </c>
      <c r="F60" s="49">
        <v>8754.61</v>
      </c>
      <c r="G60" s="49">
        <v>110.82</v>
      </c>
    </row>
    <row r="61" spans="1:7">
      <c r="A61" s="44" t="s">
        <v>197</v>
      </c>
      <c r="B61" s="48">
        <v>63</v>
      </c>
      <c r="C61" s="48">
        <v>70</v>
      </c>
      <c r="D61" s="49">
        <v>6674.47</v>
      </c>
      <c r="E61" s="49">
        <v>1227.71</v>
      </c>
      <c r="F61" s="49">
        <v>7902.18</v>
      </c>
      <c r="G61" s="49">
        <v>125.43</v>
      </c>
    </row>
    <row r="62" spans="1:7">
      <c r="A62" s="44" t="s">
        <v>198</v>
      </c>
      <c r="B62" s="48">
        <v>38</v>
      </c>
      <c r="C62" s="48">
        <v>38</v>
      </c>
      <c r="D62" s="49">
        <v>6034.35</v>
      </c>
      <c r="E62" s="49">
        <v>690.51</v>
      </c>
      <c r="F62" s="49">
        <v>6724.86</v>
      </c>
      <c r="G62" s="49">
        <v>176.97</v>
      </c>
    </row>
    <row r="63" spans="1:7">
      <c r="A63" s="44" t="s">
        <v>199</v>
      </c>
      <c r="B63" s="48">
        <v>37</v>
      </c>
      <c r="C63" s="48">
        <v>37</v>
      </c>
      <c r="D63" s="49">
        <v>4323.38</v>
      </c>
      <c r="E63" s="49">
        <v>1581.37</v>
      </c>
      <c r="F63" s="49">
        <v>5904.75</v>
      </c>
      <c r="G63" s="49">
        <v>159.59</v>
      </c>
    </row>
    <row r="64" spans="1:7">
      <c r="A64" s="44" t="s">
        <v>200</v>
      </c>
      <c r="B64" s="48">
        <v>56</v>
      </c>
      <c r="C64" s="48">
        <v>61</v>
      </c>
      <c r="D64" s="49">
        <v>4542.59</v>
      </c>
      <c r="E64" s="49">
        <v>1227.25</v>
      </c>
      <c r="F64" s="49">
        <v>5769.84</v>
      </c>
      <c r="G64" s="49">
        <v>103.03</v>
      </c>
    </row>
    <row r="65" spans="1:7">
      <c r="A65" s="44" t="s">
        <v>201</v>
      </c>
      <c r="B65" s="48">
        <v>38</v>
      </c>
      <c r="C65" s="48">
        <v>42</v>
      </c>
      <c r="D65" s="49">
        <v>4465.1899999999996</v>
      </c>
      <c r="E65" s="49">
        <v>820.19</v>
      </c>
      <c r="F65" s="49">
        <v>5285.38</v>
      </c>
      <c r="G65" s="49">
        <v>139.09</v>
      </c>
    </row>
    <row r="66" spans="1:7">
      <c r="A66" s="44" t="s">
        <v>202</v>
      </c>
      <c r="B66" s="48">
        <v>50</v>
      </c>
      <c r="C66" s="48">
        <v>57</v>
      </c>
      <c r="D66" s="49">
        <v>4418.8599999999997</v>
      </c>
      <c r="E66" s="49">
        <v>732.08</v>
      </c>
      <c r="F66" s="49">
        <v>5150.9399999999996</v>
      </c>
      <c r="G66" s="49">
        <v>103.02</v>
      </c>
    </row>
    <row r="67" spans="1:7">
      <c r="A67" s="44" t="s">
        <v>203</v>
      </c>
      <c r="B67" s="48">
        <v>13</v>
      </c>
      <c r="C67" s="48">
        <v>14</v>
      </c>
      <c r="D67" s="49">
        <v>3933.63</v>
      </c>
      <c r="E67" s="49">
        <v>294.42</v>
      </c>
      <c r="F67" s="49">
        <v>4228.05</v>
      </c>
      <c r="G67" s="49">
        <v>325.23</v>
      </c>
    </row>
    <row r="68" spans="1:7">
      <c r="A68" s="44" t="s">
        <v>204</v>
      </c>
      <c r="B68" s="48">
        <v>36</v>
      </c>
      <c r="C68" s="48">
        <v>45</v>
      </c>
      <c r="D68" s="49">
        <v>2634.94</v>
      </c>
      <c r="E68" s="49">
        <v>583.5</v>
      </c>
      <c r="F68" s="49">
        <v>3218.44</v>
      </c>
      <c r="G68" s="49">
        <v>89.4</v>
      </c>
    </row>
    <row r="69" spans="1:7">
      <c r="A69" s="44" t="s">
        <v>205</v>
      </c>
      <c r="B69" s="48">
        <v>26</v>
      </c>
      <c r="C69" s="48">
        <v>29</v>
      </c>
      <c r="D69" s="49">
        <v>2094.52</v>
      </c>
      <c r="E69" s="49">
        <v>563.03</v>
      </c>
      <c r="F69" s="49">
        <v>2657.55</v>
      </c>
      <c r="G69" s="49">
        <v>102.21</v>
      </c>
    </row>
    <row r="70" spans="1:7">
      <c r="A70" s="44" t="s">
        <v>206</v>
      </c>
      <c r="B70" s="48">
        <v>13</v>
      </c>
      <c r="C70" s="48">
        <v>14</v>
      </c>
      <c r="D70" s="49">
        <v>2054.9899999999998</v>
      </c>
      <c r="E70" s="49">
        <v>333.55</v>
      </c>
      <c r="F70" s="49">
        <v>2388.54</v>
      </c>
      <c r="G70" s="49">
        <v>183.73</v>
      </c>
    </row>
    <row r="71" spans="1:7">
      <c r="A71" s="44" t="s">
        <v>207</v>
      </c>
      <c r="B71" s="48">
        <v>23</v>
      </c>
      <c r="C71" s="48">
        <v>24</v>
      </c>
      <c r="D71" s="49">
        <v>1814.01</v>
      </c>
      <c r="E71" s="49">
        <v>370.13</v>
      </c>
      <c r="F71" s="49">
        <v>2184.14</v>
      </c>
      <c r="G71" s="49">
        <v>94.96</v>
      </c>
    </row>
    <row r="72" spans="1:7">
      <c r="A72" s="44" t="s">
        <v>208</v>
      </c>
      <c r="B72" s="48">
        <v>25</v>
      </c>
      <c r="C72" s="48">
        <v>37</v>
      </c>
      <c r="D72" s="49">
        <v>1500.79</v>
      </c>
      <c r="E72" s="49">
        <v>545.4</v>
      </c>
      <c r="F72" s="49">
        <v>2046.19</v>
      </c>
      <c r="G72" s="49">
        <v>81.849999999999994</v>
      </c>
    </row>
    <row r="73" spans="1:7">
      <c r="A73" s="44" t="s">
        <v>209</v>
      </c>
      <c r="B73" s="48">
        <v>29</v>
      </c>
      <c r="C73" s="48">
        <v>33</v>
      </c>
      <c r="D73" s="49">
        <v>1110.04</v>
      </c>
      <c r="E73" s="49">
        <v>488.87</v>
      </c>
      <c r="F73" s="49">
        <v>1598.91</v>
      </c>
      <c r="G73" s="49">
        <v>55.13</v>
      </c>
    </row>
    <row r="74" spans="1:7">
      <c r="A74" s="44" t="s">
        <v>210</v>
      </c>
      <c r="B74" s="48">
        <v>7</v>
      </c>
      <c r="C74" s="48">
        <v>8</v>
      </c>
      <c r="D74" s="49">
        <v>1306.95</v>
      </c>
      <c r="E74" s="49">
        <v>123.15</v>
      </c>
      <c r="F74" s="49">
        <v>1430.1</v>
      </c>
      <c r="G74" s="49">
        <v>204.3</v>
      </c>
    </row>
    <row r="75" spans="1:7">
      <c r="A75" s="44" t="s">
        <v>211</v>
      </c>
      <c r="B75" s="48">
        <v>24</v>
      </c>
      <c r="C75" s="48">
        <v>30</v>
      </c>
      <c r="D75" s="49">
        <v>760.27</v>
      </c>
      <c r="E75" s="49">
        <v>410.31</v>
      </c>
      <c r="F75" s="49">
        <v>1170.58</v>
      </c>
      <c r="G75" s="49">
        <v>48.77</v>
      </c>
    </row>
    <row r="76" spans="1:7">
      <c r="A76" s="44" t="s">
        <v>212</v>
      </c>
      <c r="B76" s="48">
        <v>12</v>
      </c>
      <c r="C76" s="48">
        <v>14</v>
      </c>
      <c r="D76" s="49">
        <v>730</v>
      </c>
      <c r="E76" s="49">
        <v>224.99</v>
      </c>
      <c r="F76" s="49">
        <v>954.99</v>
      </c>
      <c r="G76" s="49">
        <v>79.58</v>
      </c>
    </row>
    <row r="77" spans="1:7">
      <c r="A77" s="44" t="s">
        <v>213</v>
      </c>
      <c r="B77" s="48">
        <v>7</v>
      </c>
      <c r="C77" s="48">
        <v>7</v>
      </c>
      <c r="D77" s="49">
        <v>519.95000000000005</v>
      </c>
      <c r="E77" s="49">
        <v>78.72</v>
      </c>
      <c r="F77" s="49">
        <v>598.66999999999996</v>
      </c>
      <c r="G77" s="49">
        <v>85.52</v>
      </c>
    </row>
    <row r="78" spans="1:7">
      <c r="A78" s="44" t="s">
        <v>214</v>
      </c>
      <c r="B78" s="48">
        <v>2</v>
      </c>
      <c r="C78" s="48">
        <v>2</v>
      </c>
      <c r="D78" s="49">
        <v>283.29000000000002</v>
      </c>
      <c r="E78" s="49">
        <v>41.22</v>
      </c>
      <c r="F78" s="49">
        <v>324.51</v>
      </c>
      <c r="G78" s="49">
        <v>162.26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7"/>
  <sheetViews>
    <sheetView showGridLines="0" zoomScaleNormal="100" workbookViewId="0"/>
  </sheetViews>
  <sheetFormatPr defaultColWidth="8.7109375" defaultRowHeight="15"/>
  <cols>
    <col min="1" max="11" width="16" customWidth="1"/>
  </cols>
  <sheetData>
    <row r="1" spans="1:11" ht="19.7">
      <c r="A1" s="16" t="s">
        <v>215</v>
      </c>
    </row>
    <row r="2" spans="1:11">
      <c r="A2" s="54" t="s">
        <v>138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4" spans="1:11" ht="27.75" customHeight="1">
      <c r="A4" s="4" t="s">
        <v>125</v>
      </c>
      <c r="B4" s="4" t="s">
        <v>216</v>
      </c>
      <c r="C4" s="4" t="s">
        <v>217</v>
      </c>
      <c r="D4" s="4" t="s">
        <v>218</v>
      </c>
      <c r="E4" s="4" t="s">
        <v>219</v>
      </c>
      <c r="F4" s="4" t="s">
        <v>220</v>
      </c>
      <c r="G4" s="4" t="s">
        <v>221</v>
      </c>
      <c r="H4" s="4" t="s">
        <v>222</v>
      </c>
      <c r="I4" s="4" t="s">
        <v>223</v>
      </c>
      <c r="J4" s="4" t="s">
        <v>224</v>
      </c>
      <c r="K4" s="4" t="s">
        <v>225</v>
      </c>
    </row>
    <row r="5" spans="1:11">
      <c r="A5" s="47">
        <v>42614</v>
      </c>
      <c r="B5" s="48">
        <v>1</v>
      </c>
      <c r="C5" s="50">
        <v>54.81</v>
      </c>
      <c r="D5" s="44"/>
      <c r="E5" s="50">
        <v>36.32</v>
      </c>
      <c r="F5" s="48">
        <v>0</v>
      </c>
      <c r="G5" s="48">
        <v>0</v>
      </c>
      <c r="H5" s="48">
        <v>1</v>
      </c>
      <c r="I5" s="51">
        <v>0</v>
      </c>
      <c r="J5" s="51">
        <v>0</v>
      </c>
      <c r="K5" s="51">
        <v>100</v>
      </c>
    </row>
    <row r="6" spans="1:11">
      <c r="A6" s="47">
        <v>42644</v>
      </c>
      <c r="B6" s="48">
        <v>265</v>
      </c>
      <c r="C6" s="50">
        <v>19.600000000000001</v>
      </c>
      <c r="D6" s="50">
        <v>36.57</v>
      </c>
      <c r="E6" s="50">
        <v>10.25</v>
      </c>
      <c r="F6" s="48">
        <v>262</v>
      </c>
      <c r="G6" s="48">
        <v>1</v>
      </c>
      <c r="H6" s="48">
        <v>2</v>
      </c>
      <c r="I6" s="51">
        <v>98.87</v>
      </c>
      <c r="J6" s="51">
        <v>0.38</v>
      </c>
      <c r="K6" s="51">
        <v>0.75</v>
      </c>
    </row>
    <row r="7" spans="1:11">
      <c r="A7" s="47">
        <v>42705</v>
      </c>
      <c r="B7" s="48">
        <v>1</v>
      </c>
      <c r="C7" s="50">
        <v>4.6900000000000004</v>
      </c>
      <c r="D7" s="50">
        <v>21.34</v>
      </c>
      <c r="E7" s="44"/>
      <c r="F7" s="48">
        <v>1</v>
      </c>
      <c r="G7" s="48">
        <v>0</v>
      </c>
      <c r="H7" s="48">
        <v>0</v>
      </c>
      <c r="I7" s="51">
        <v>100</v>
      </c>
      <c r="J7" s="51">
        <v>0</v>
      </c>
      <c r="K7" s="51">
        <v>0</v>
      </c>
    </row>
    <row r="8" spans="1:11">
      <c r="A8" s="47">
        <v>42736</v>
      </c>
      <c r="B8" s="48">
        <v>750</v>
      </c>
      <c r="C8" s="50">
        <v>12.65</v>
      </c>
      <c r="D8" s="50">
        <v>28.34</v>
      </c>
      <c r="E8" s="50">
        <v>20.73</v>
      </c>
      <c r="F8" s="48">
        <v>727</v>
      </c>
      <c r="G8" s="48">
        <v>1</v>
      </c>
      <c r="H8" s="48">
        <v>22</v>
      </c>
      <c r="I8" s="51">
        <v>96.93</v>
      </c>
      <c r="J8" s="51">
        <v>0.13</v>
      </c>
      <c r="K8" s="51">
        <v>2.93</v>
      </c>
    </row>
    <row r="9" spans="1:11">
      <c r="A9" s="47">
        <v>42767</v>
      </c>
      <c r="B9" s="48">
        <v>1653</v>
      </c>
      <c r="C9" s="50">
        <v>13.17</v>
      </c>
      <c r="D9" s="50">
        <v>19.95</v>
      </c>
      <c r="E9" s="50">
        <v>21.31</v>
      </c>
      <c r="F9" s="48">
        <v>1600</v>
      </c>
      <c r="G9" s="48">
        <v>4</v>
      </c>
      <c r="H9" s="48">
        <v>49</v>
      </c>
      <c r="I9" s="51">
        <v>96.79</v>
      </c>
      <c r="J9" s="51">
        <v>0.24</v>
      </c>
      <c r="K9" s="51">
        <v>2.96</v>
      </c>
    </row>
    <row r="10" spans="1:11">
      <c r="A10" s="47">
        <v>42795</v>
      </c>
      <c r="B10" s="48">
        <v>2546</v>
      </c>
      <c r="C10" s="50">
        <v>12.95</v>
      </c>
      <c r="D10" s="50">
        <v>13.74</v>
      </c>
      <c r="E10" s="50">
        <v>25.97</v>
      </c>
      <c r="F10" s="48">
        <v>2404</v>
      </c>
      <c r="G10" s="48">
        <v>26</v>
      </c>
      <c r="H10" s="48">
        <v>116</v>
      </c>
      <c r="I10" s="51">
        <v>94.42</v>
      </c>
      <c r="J10" s="51">
        <v>1.02</v>
      </c>
      <c r="K10" s="51">
        <v>4.5599999999999996</v>
      </c>
    </row>
    <row r="11" spans="1:11">
      <c r="A11" s="47">
        <v>42826</v>
      </c>
      <c r="B11" s="48">
        <v>2303</v>
      </c>
      <c r="C11" s="50">
        <v>14.92</v>
      </c>
      <c r="D11" s="50">
        <v>14.41</v>
      </c>
      <c r="E11" s="50">
        <v>12.86</v>
      </c>
      <c r="F11" s="48">
        <v>2122</v>
      </c>
      <c r="G11" s="48">
        <v>30</v>
      </c>
      <c r="H11" s="48">
        <v>151</v>
      </c>
      <c r="I11" s="51">
        <v>92.14</v>
      </c>
      <c r="J11" s="51">
        <v>1.3</v>
      </c>
      <c r="K11" s="51">
        <v>6.56</v>
      </c>
    </row>
    <row r="12" spans="1:11">
      <c r="A12" s="47">
        <v>42856</v>
      </c>
      <c r="B12" s="48">
        <v>3545</v>
      </c>
      <c r="C12" s="50">
        <v>11.32</v>
      </c>
      <c r="D12" s="50">
        <v>13.86</v>
      </c>
      <c r="E12" s="50">
        <v>13.09</v>
      </c>
      <c r="F12" s="48">
        <v>3417</v>
      </c>
      <c r="G12" s="48">
        <v>22</v>
      </c>
      <c r="H12" s="48">
        <v>106</v>
      </c>
      <c r="I12" s="51">
        <v>96.39</v>
      </c>
      <c r="J12" s="51">
        <v>0.62</v>
      </c>
      <c r="K12" s="51">
        <v>2.99</v>
      </c>
    </row>
    <row r="13" spans="1:11">
      <c r="A13" s="47">
        <v>42887</v>
      </c>
      <c r="B13" s="48">
        <v>3135</v>
      </c>
      <c r="C13" s="50">
        <v>12.01</v>
      </c>
      <c r="D13" s="50">
        <v>12.97</v>
      </c>
      <c r="E13" s="50">
        <v>14.96</v>
      </c>
      <c r="F13" s="48">
        <v>3014</v>
      </c>
      <c r="G13" s="48">
        <v>26</v>
      </c>
      <c r="H13" s="48">
        <v>95</v>
      </c>
      <c r="I13" s="51">
        <v>96.14</v>
      </c>
      <c r="J13" s="51">
        <v>0.83</v>
      </c>
      <c r="K13" s="51">
        <v>3.03</v>
      </c>
    </row>
    <row r="14" spans="1:11">
      <c r="A14" s="47">
        <v>42917</v>
      </c>
      <c r="B14" s="48">
        <v>3872</v>
      </c>
      <c r="C14" s="50">
        <v>11.59</v>
      </c>
      <c r="D14" s="50">
        <v>12.51</v>
      </c>
      <c r="E14" s="50">
        <v>12.41</v>
      </c>
      <c r="F14" s="48">
        <v>3739</v>
      </c>
      <c r="G14" s="48">
        <v>25</v>
      </c>
      <c r="H14" s="48">
        <v>108</v>
      </c>
      <c r="I14" s="51">
        <v>96.57</v>
      </c>
      <c r="J14" s="51">
        <v>0.65</v>
      </c>
      <c r="K14" s="51">
        <v>2.79</v>
      </c>
    </row>
    <row r="15" spans="1:11">
      <c r="A15" s="47">
        <v>42948</v>
      </c>
      <c r="B15" s="48">
        <v>4193</v>
      </c>
      <c r="C15" s="50">
        <v>11.15</v>
      </c>
      <c r="D15" s="50">
        <v>13.05</v>
      </c>
      <c r="E15" s="50">
        <v>9.49</v>
      </c>
      <c r="F15" s="48">
        <v>4054</v>
      </c>
      <c r="G15" s="48">
        <v>17</v>
      </c>
      <c r="H15" s="48">
        <v>122</v>
      </c>
      <c r="I15" s="51">
        <v>96.68</v>
      </c>
      <c r="J15" s="51">
        <v>0.41</v>
      </c>
      <c r="K15" s="51">
        <v>2.91</v>
      </c>
    </row>
    <row r="16" spans="1:11">
      <c r="A16" s="47">
        <v>42979</v>
      </c>
      <c r="B16" s="48">
        <v>4150</v>
      </c>
      <c r="C16" s="50">
        <v>11.85</v>
      </c>
      <c r="D16" s="50">
        <v>11.64</v>
      </c>
      <c r="E16" s="50">
        <v>10.119999999999999</v>
      </c>
      <c r="F16" s="48">
        <v>3934</v>
      </c>
      <c r="G16" s="48">
        <v>34</v>
      </c>
      <c r="H16" s="48">
        <v>182</v>
      </c>
      <c r="I16" s="51">
        <v>94.8</v>
      </c>
      <c r="J16" s="51">
        <v>0.82</v>
      </c>
      <c r="K16" s="51">
        <v>4.3899999999999997</v>
      </c>
    </row>
    <row r="17" spans="1:11">
      <c r="A17" s="47">
        <v>43009</v>
      </c>
      <c r="B17" s="48">
        <v>4478</v>
      </c>
      <c r="C17" s="50">
        <v>11.86</v>
      </c>
      <c r="D17" s="50">
        <v>12.23</v>
      </c>
      <c r="E17" s="50">
        <v>9.94</v>
      </c>
      <c r="F17" s="48">
        <v>4241</v>
      </c>
      <c r="G17" s="48">
        <v>50</v>
      </c>
      <c r="H17" s="48">
        <v>187</v>
      </c>
      <c r="I17" s="51">
        <v>94.71</v>
      </c>
      <c r="J17" s="51">
        <v>1.1200000000000001</v>
      </c>
      <c r="K17" s="51">
        <v>4.18</v>
      </c>
    </row>
    <row r="18" spans="1:11">
      <c r="A18" s="47">
        <v>43040</v>
      </c>
      <c r="B18" s="48">
        <v>7288</v>
      </c>
      <c r="C18" s="50">
        <v>15.16</v>
      </c>
      <c r="D18" s="50">
        <v>10.37</v>
      </c>
      <c r="E18" s="50">
        <v>11.89</v>
      </c>
      <c r="F18" s="48">
        <v>6245</v>
      </c>
      <c r="G18" s="48">
        <v>139</v>
      </c>
      <c r="H18" s="48">
        <v>904</v>
      </c>
      <c r="I18" s="51">
        <v>85.69</v>
      </c>
      <c r="J18" s="51">
        <v>1.91</v>
      </c>
      <c r="K18" s="51">
        <v>12.4</v>
      </c>
    </row>
    <row r="19" spans="1:11">
      <c r="A19" s="47">
        <v>43070</v>
      </c>
      <c r="B19" s="48">
        <v>5513</v>
      </c>
      <c r="C19" s="50">
        <v>15.39</v>
      </c>
      <c r="D19" s="50">
        <v>14.27</v>
      </c>
      <c r="E19" s="50">
        <v>10.43</v>
      </c>
      <c r="F19" s="48">
        <v>5051</v>
      </c>
      <c r="G19" s="48">
        <v>51</v>
      </c>
      <c r="H19" s="48">
        <v>411</v>
      </c>
      <c r="I19" s="51">
        <v>91.62</v>
      </c>
      <c r="J19" s="51">
        <v>0.93</v>
      </c>
      <c r="K19" s="51">
        <v>7.46</v>
      </c>
    </row>
    <row r="20" spans="1:11">
      <c r="A20" s="47">
        <v>43101</v>
      </c>
      <c r="B20" s="48">
        <v>7069</v>
      </c>
      <c r="C20" s="50">
        <v>14.08</v>
      </c>
      <c r="D20" s="50">
        <v>13.85</v>
      </c>
      <c r="E20" s="50">
        <v>12.58</v>
      </c>
      <c r="F20" s="48">
        <v>6605</v>
      </c>
      <c r="G20" s="48">
        <v>61</v>
      </c>
      <c r="H20" s="48">
        <v>403</v>
      </c>
      <c r="I20" s="51">
        <v>93.44</v>
      </c>
      <c r="J20" s="51">
        <v>0.86</v>
      </c>
      <c r="K20" s="51">
        <v>5.7</v>
      </c>
    </row>
    <row r="21" spans="1:11">
      <c r="A21" s="47">
        <v>43132</v>
      </c>
      <c r="B21" s="48">
        <v>6555</v>
      </c>
      <c r="C21" s="50">
        <v>16.95</v>
      </c>
      <c r="D21" s="50">
        <v>11.28</v>
      </c>
      <c r="E21" s="50">
        <v>13.28</v>
      </c>
      <c r="F21" s="48">
        <v>5507</v>
      </c>
      <c r="G21" s="48">
        <v>122</v>
      </c>
      <c r="H21" s="48">
        <v>926</v>
      </c>
      <c r="I21" s="51">
        <v>84.01</v>
      </c>
      <c r="J21" s="51">
        <v>1.86</v>
      </c>
      <c r="K21" s="51">
        <v>14.13</v>
      </c>
    </row>
    <row r="22" spans="1:11">
      <c r="A22" s="47">
        <v>43160</v>
      </c>
      <c r="B22" s="48">
        <v>7003</v>
      </c>
      <c r="C22" s="50">
        <v>16.3</v>
      </c>
      <c r="D22" s="50">
        <v>9.89</v>
      </c>
      <c r="E22" s="50">
        <v>10.7</v>
      </c>
      <c r="F22" s="48">
        <v>5507</v>
      </c>
      <c r="G22" s="48">
        <v>168</v>
      </c>
      <c r="H22" s="48">
        <v>1328</v>
      </c>
      <c r="I22" s="51">
        <v>78.64</v>
      </c>
      <c r="J22" s="51">
        <v>2.4</v>
      </c>
      <c r="K22" s="51">
        <v>18.96</v>
      </c>
    </row>
    <row r="23" spans="1:11">
      <c r="A23" s="47">
        <v>43191</v>
      </c>
      <c r="B23" s="48">
        <v>6798</v>
      </c>
      <c r="C23" s="50">
        <v>11.5</v>
      </c>
      <c r="D23" s="50">
        <v>13.4</v>
      </c>
      <c r="E23" s="50">
        <v>11.09</v>
      </c>
      <c r="F23" s="48">
        <v>6437</v>
      </c>
      <c r="G23" s="48">
        <v>55</v>
      </c>
      <c r="H23" s="48">
        <v>306</v>
      </c>
      <c r="I23" s="51">
        <v>94.69</v>
      </c>
      <c r="J23" s="51">
        <v>0.81</v>
      </c>
      <c r="K23" s="51">
        <v>4.5</v>
      </c>
    </row>
    <row r="24" spans="1:11">
      <c r="A24" s="47">
        <v>43221</v>
      </c>
      <c r="B24" s="48">
        <v>6749</v>
      </c>
      <c r="C24" s="50">
        <v>11.42</v>
      </c>
      <c r="D24" s="50">
        <v>13.07</v>
      </c>
      <c r="E24" s="50">
        <v>7.79</v>
      </c>
      <c r="F24" s="48">
        <v>6193</v>
      </c>
      <c r="G24" s="48">
        <v>113</v>
      </c>
      <c r="H24" s="48">
        <v>443</v>
      </c>
      <c r="I24" s="51">
        <v>91.76</v>
      </c>
      <c r="J24" s="51">
        <v>1.67</v>
      </c>
      <c r="K24" s="51">
        <v>6.56</v>
      </c>
    </row>
    <row r="25" spans="1:11">
      <c r="A25" s="47">
        <v>43252</v>
      </c>
      <c r="B25" s="48">
        <v>6096</v>
      </c>
      <c r="C25" s="50">
        <v>9.24</v>
      </c>
      <c r="D25" s="50">
        <v>18.96</v>
      </c>
      <c r="E25" s="50">
        <v>14.07</v>
      </c>
      <c r="F25" s="48">
        <v>6013</v>
      </c>
      <c r="G25" s="48">
        <v>12</v>
      </c>
      <c r="H25" s="48">
        <v>71</v>
      </c>
      <c r="I25" s="51">
        <v>98.64</v>
      </c>
      <c r="J25" s="51">
        <v>0.2</v>
      </c>
      <c r="K25" s="51">
        <v>1.1599999999999999</v>
      </c>
    </row>
    <row r="26" spans="1:11">
      <c r="A26" s="47">
        <v>43282</v>
      </c>
      <c r="B26" s="48">
        <v>6156</v>
      </c>
      <c r="C26" s="50">
        <v>8.9600000000000009</v>
      </c>
      <c r="D26" s="50">
        <v>11.56</v>
      </c>
      <c r="E26" s="50">
        <v>9.07</v>
      </c>
      <c r="F26" s="48">
        <v>5880</v>
      </c>
      <c r="G26" s="48">
        <v>68</v>
      </c>
      <c r="H26" s="48">
        <v>208</v>
      </c>
      <c r="I26" s="51">
        <v>95.52</v>
      </c>
      <c r="J26" s="51">
        <v>1.1000000000000001</v>
      </c>
      <c r="K26" s="51">
        <v>3.38</v>
      </c>
    </row>
    <row r="27" spans="1:11">
      <c r="A27" s="47">
        <v>43313</v>
      </c>
      <c r="B27" s="48">
        <v>6351</v>
      </c>
      <c r="C27" s="50">
        <v>7.73</v>
      </c>
      <c r="D27" s="50">
        <v>8.6999999999999993</v>
      </c>
      <c r="E27" s="50">
        <v>5.05</v>
      </c>
      <c r="F27" s="48">
        <v>5691</v>
      </c>
      <c r="G27" s="48">
        <v>267</v>
      </c>
      <c r="H27" s="48">
        <v>393</v>
      </c>
      <c r="I27" s="51">
        <v>89.61</v>
      </c>
      <c r="J27" s="51">
        <v>4.2</v>
      </c>
      <c r="K27" s="51">
        <v>6.19</v>
      </c>
    </row>
  </sheetData>
  <mergeCells count="1"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5"/>
  <sheetViews>
    <sheetView showGridLines="0" zoomScaleNormal="100" workbookViewId="0"/>
  </sheetViews>
  <sheetFormatPr defaultColWidth="8.7109375" defaultRowHeight="15"/>
  <cols>
    <col min="1" max="7" width="16" customWidth="1"/>
  </cols>
  <sheetData>
    <row r="1" spans="1:7" ht="19.7">
      <c r="A1" s="16" t="s">
        <v>226</v>
      </c>
    </row>
    <row r="2" spans="1:7">
      <c r="A2" s="54" t="s">
        <v>138</v>
      </c>
      <c r="B2" s="54"/>
      <c r="C2" s="54"/>
      <c r="D2" s="54"/>
      <c r="E2" s="54"/>
      <c r="F2" s="54"/>
      <c r="G2" s="54"/>
    </row>
    <row r="4" spans="1:7" ht="27.75" customHeight="1">
      <c r="A4" s="4" t="s">
        <v>227</v>
      </c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  <c r="G4" s="4" t="s">
        <v>233</v>
      </c>
    </row>
    <row r="5" spans="1:7">
      <c r="A5" s="47" t="s">
        <v>234</v>
      </c>
      <c r="B5" s="48">
        <v>1</v>
      </c>
      <c r="C5" s="48">
        <v>0</v>
      </c>
      <c r="D5" s="50">
        <v>1</v>
      </c>
      <c r="E5" s="49">
        <v>143.46</v>
      </c>
      <c r="F5" s="49">
        <v>143.46</v>
      </c>
      <c r="G5" s="51">
        <v>0</v>
      </c>
    </row>
    <row r="6" spans="1:7">
      <c r="A6" s="47" t="s">
        <v>235</v>
      </c>
      <c r="B6" s="48">
        <v>262</v>
      </c>
      <c r="C6" s="48">
        <v>12</v>
      </c>
      <c r="D6" s="50">
        <v>1.05</v>
      </c>
      <c r="E6" s="49">
        <v>184.13</v>
      </c>
      <c r="F6" s="49">
        <v>48241.35</v>
      </c>
      <c r="G6" s="51">
        <v>4.58</v>
      </c>
    </row>
    <row r="7" spans="1:7">
      <c r="A7" s="47" t="s">
        <v>236</v>
      </c>
      <c r="B7" s="48">
        <v>1</v>
      </c>
      <c r="C7" s="48">
        <v>1</v>
      </c>
      <c r="D7" s="50">
        <v>2</v>
      </c>
      <c r="E7" s="49">
        <v>39.24</v>
      </c>
      <c r="F7" s="49">
        <v>39.24</v>
      </c>
      <c r="G7" s="51">
        <v>100</v>
      </c>
    </row>
    <row r="8" spans="1:7">
      <c r="A8" s="47" t="s">
        <v>237</v>
      </c>
      <c r="B8" s="48">
        <v>717</v>
      </c>
      <c r="C8" s="48">
        <v>52</v>
      </c>
      <c r="D8" s="50">
        <v>1.0900000000000001</v>
      </c>
      <c r="E8" s="49">
        <v>182.59</v>
      </c>
      <c r="F8" s="49">
        <v>130915.22</v>
      </c>
      <c r="G8" s="51">
        <v>7.25</v>
      </c>
    </row>
    <row r="9" spans="1:7">
      <c r="A9" s="47" t="s">
        <v>238</v>
      </c>
      <c r="B9" s="48">
        <v>1628</v>
      </c>
      <c r="C9" s="48">
        <v>66</v>
      </c>
      <c r="D9" s="50">
        <v>1.04</v>
      </c>
      <c r="E9" s="49">
        <v>170.63</v>
      </c>
      <c r="F9" s="49">
        <v>277792.38</v>
      </c>
      <c r="G9" s="51">
        <v>4.05</v>
      </c>
    </row>
    <row r="10" spans="1:7">
      <c r="A10" s="47" t="s">
        <v>239</v>
      </c>
      <c r="B10" s="48">
        <v>2503</v>
      </c>
      <c r="C10" s="48">
        <v>121</v>
      </c>
      <c r="D10" s="50">
        <v>1.06</v>
      </c>
      <c r="E10" s="49">
        <v>171.37</v>
      </c>
      <c r="F10" s="49">
        <v>428948.45</v>
      </c>
      <c r="G10" s="51">
        <v>4.83</v>
      </c>
    </row>
    <row r="11" spans="1:7">
      <c r="A11" s="47" t="s">
        <v>240</v>
      </c>
      <c r="B11" s="48">
        <v>2256</v>
      </c>
      <c r="C11" s="48">
        <v>102</v>
      </c>
      <c r="D11" s="50">
        <v>1.05</v>
      </c>
      <c r="E11" s="49">
        <v>178.67</v>
      </c>
      <c r="F11" s="49">
        <v>403083.12</v>
      </c>
      <c r="G11" s="51">
        <v>4.5199999999999996</v>
      </c>
    </row>
    <row r="12" spans="1:7">
      <c r="A12" s="47" t="s">
        <v>241</v>
      </c>
      <c r="B12" s="48">
        <v>3451</v>
      </c>
      <c r="C12" s="48">
        <v>182</v>
      </c>
      <c r="D12" s="50">
        <v>1.06</v>
      </c>
      <c r="E12" s="49">
        <v>168.99</v>
      </c>
      <c r="F12" s="49">
        <v>583196.94999999995</v>
      </c>
      <c r="G12" s="51">
        <v>5.27</v>
      </c>
    </row>
    <row r="13" spans="1:7">
      <c r="A13" s="47" t="s">
        <v>242</v>
      </c>
      <c r="B13" s="48">
        <v>3037</v>
      </c>
      <c r="C13" s="48">
        <v>161</v>
      </c>
      <c r="D13" s="50">
        <v>1.06</v>
      </c>
      <c r="E13" s="49">
        <v>166.12</v>
      </c>
      <c r="F13" s="49">
        <v>504520.05</v>
      </c>
      <c r="G13" s="51">
        <v>5.3</v>
      </c>
    </row>
    <row r="14" spans="1:7">
      <c r="A14" s="47" t="s">
        <v>243</v>
      </c>
      <c r="B14" s="48">
        <v>3752</v>
      </c>
      <c r="C14" s="48">
        <v>175</v>
      </c>
      <c r="D14" s="50">
        <v>1.05</v>
      </c>
      <c r="E14" s="49">
        <v>153.80000000000001</v>
      </c>
      <c r="F14" s="49">
        <v>577051.37</v>
      </c>
      <c r="G14" s="51">
        <v>4.66</v>
      </c>
    </row>
    <row r="15" spans="1:7">
      <c r="A15" s="47" t="s">
        <v>244</v>
      </c>
      <c r="B15" s="48">
        <v>4057</v>
      </c>
      <c r="C15" s="48">
        <v>191</v>
      </c>
      <c r="D15" s="50">
        <v>1.06</v>
      </c>
      <c r="E15" s="49">
        <v>162.47</v>
      </c>
      <c r="F15" s="49">
        <v>659150.61</v>
      </c>
      <c r="G15" s="51">
        <v>4.71</v>
      </c>
    </row>
    <row r="16" spans="1:7">
      <c r="A16" s="47" t="s">
        <v>245</v>
      </c>
      <c r="B16" s="48">
        <v>4004</v>
      </c>
      <c r="C16" s="48">
        <v>180</v>
      </c>
      <c r="D16" s="50">
        <v>1.05</v>
      </c>
      <c r="E16" s="49">
        <v>177.06</v>
      </c>
      <c r="F16" s="49">
        <v>708937.04</v>
      </c>
      <c r="G16" s="51">
        <v>4.5</v>
      </c>
    </row>
    <row r="17" spans="1:7">
      <c r="A17" s="47" t="s">
        <v>246</v>
      </c>
      <c r="B17" s="48">
        <v>4328</v>
      </c>
      <c r="C17" s="48">
        <v>160</v>
      </c>
      <c r="D17" s="50">
        <v>1.04</v>
      </c>
      <c r="E17" s="49">
        <v>174.67</v>
      </c>
      <c r="F17" s="49">
        <v>755962.13</v>
      </c>
      <c r="G17" s="51">
        <v>3.7</v>
      </c>
    </row>
    <row r="18" spans="1:7">
      <c r="A18" s="47" t="s">
        <v>247</v>
      </c>
      <c r="B18" s="48">
        <v>7060</v>
      </c>
      <c r="C18" s="48">
        <v>223</v>
      </c>
      <c r="D18" s="50">
        <v>1.03</v>
      </c>
      <c r="E18" s="49">
        <v>164.03</v>
      </c>
      <c r="F18" s="49">
        <v>1158049.99</v>
      </c>
      <c r="G18" s="51">
        <v>3.16</v>
      </c>
    </row>
    <row r="19" spans="1:7">
      <c r="A19" s="47" t="s">
        <v>248</v>
      </c>
      <c r="B19" s="48">
        <v>5338</v>
      </c>
      <c r="C19" s="48">
        <v>139</v>
      </c>
      <c r="D19" s="50">
        <v>1.03</v>
      </c>
      <c r="E19" s="49">
        <v>156.94999999999999</v>
      </c>
      <c r="F19" s="49">
        <v>837816.74</v>
      </c>
      <c r="G19" s="51">
        <v>2.6</v>
      </c>
    </row>
    <row r="20" spans="1:7">
      <c r="A20" s="47" t="s">
        <v>249</v>
      </c>
      <c r="B20" s="48">
        <v>6842</v>
      </c>
      <c r="C20" s="48">
        <v>208</v>
      </c>
      <c r="D20" s="50">
        <v>1.03</v>
      </c>
      <c r="E20" s="49">
        <v>157.16</v>
      </c>
      <c r="F20" s="49">
        <v>1075288.6399999999</v>
      </c>
      <c r="G20" s="51">
        <v>3.04</v>
      </c>
    </row>
    <row r="21" spans="1:7">
      <c r="A21" s="47" t="s">
        <v>250</v>
      </c>
      <c r="B21" s="48">
        <v>6288</v>
      </c>
      <c r="C21" s="48">
        <v>236</v>
      </c>
      <c r="D21" s="50">
        <v>1.04</v>
      </c>
      <c r="E21" s="49">
        <v>153.88999999999999</v>
      </c>
      <c r="F21" s="49">
        <v>967667.01</v>
      </c>
      <c r="G21" s="51">
        <v>3.75</v>
      </c>
    </row>
    <row r="22" spans="1:7">
      <c r="A22" s="47" t="s">
        <v>251</v>
      </c>
      <c r="B22" s="48">
        <v>6774</v>
      </c>
      <c r="C22" s="48">
        <v>162</v>
      </c>
      <c r="D22" s="50">
        <v>1.03</v>
      </c>
      <c r="E22" s="49">
        <v>164.26</v>
      </c>
      <c r="F22" s="49">
        <v>1112671.8600000001</v>
      </c>
      <c r="G22" s="51">
        <v>2.39</v>
      </c>
    </row>
    <row r="23" spans="1:7">
      <c r="A23" s="47" t="s">
        <v>252</v>
      </c>
      <c r="B23" s="48">
        <v>6582</v>
      </c>
      <c r="C23" s="48">
        <v>129</v>
      </c>
      <c r="D23" s="50">
        <v>1.02</v>
      </c>
      <c r="E23" s="49">
        <v>170.07</v>
      </c>
      <c r="F23" s="49">
        <v>1119415.24</v>
      </c>
      <c r="G23" s="51">
        <v>1.96</v>
      </c>
    </row>
    <row r="24" spans="1:7">
      <c r="A24" s="47" t="s">
        <v>253</v>
      </c>
      <c r="B24" s="48">
        <v>6506</v>
      </c>
      <c r="C24" s="48">
        <v>109</v>
      </c>
      <c r="D24" s="50">
        <v>1.02</v>
      </c>
      <c r="E24" s="49">
        <v>171.01</v>
      </c>
      <c r="F24" s="49">
        <v>1112584.3700000001</v>
      </c>
      <c r="G24" s="51">
        <v>1.68</v>
      </c>
    </row>
    <row r="25" spans="1:7">
      <c r="A25" s="47" t="s">
        <v>254</v>
      </c>
      <c r="B25" s="48">
        <v>5878</v>
      </c>
      <c r="C25" s="48">
        <v>70</v>
      </c>
      <c r="D25" s="50">
        <v>1.01</v>
      </c>
      <c r="E25" s="49">
        <v>167.91</v>
      </c>
      <c r="F25" s="49">
        <v>986953.45</v>
      </c>
      <c r="G25" s="51">
        <v>1.19</v>
      </c>
    </row>
    <row r="26" spans="1:7">
      <c r="A26" s="47" t="s">
        <v>255</v>
      </c>
      <c r="B26" s="48">
        <v>5949</v>
      </c>
      <c r="C26" s="48">
        <v>88</v>
      </c>
      <c r="D26" s="50">
        <v>1.01</v>
      </c>
      <c r="E26" s="49">
        <v>169.49</v>
      </c>
      <c r="F26" s="49">
        <v>1008314.75</v>
      </c>
      <c r="G26" s="51">
        <v>1.48</v>
      </c>
    </row>
    <row r="27" spans="1:7">
      <c r="A27" s="47" t="s">
        <v>256</v>
      </c>
      <c r="B27" s="48">
        <v>6144</v>
      </c>
      <c r="C27" s="48">
        <v>34</v>
      </c>
      <c r="D27" s="50">
        <v>1.01</v>
      </c>
      <c r="E27" s="49">
        <v>156.74</v>
      </c>
      <c r="F27" s="49">
        <v>963030.33</v>
      </c>
      <c r="G27" s="51">
        <v>0.55000000000000004</v>
      </c>
    </row>
    <row r="29" spans="1:7">
      <c r="A29" s="9" t="s">
        <v>257</v>
      </c>
    </row>
    <row r="30" spans="1:7" ht="27.75" customHeight="1">
      <c r="A30" s="4" t="s">
        <v>258</v>
      </c>
      <c r="B30" s="4" t="s">
        <v>127</v>
      </c>
      <c r="C30" s="4" t="s">
        <v>259</v>
      </c>
      <c r="D30" s="4" t="s">
        <v>260</v>
      </c>
    </row>
    <row r="31" spans="1:7">
      <c r="A31" s="44" t="s">
        <v>261</v>
      </c>
      <c r="B31" s="48">
        <v>1124</v>
      </c>
      <c r="C31" s="49">
        <v>247007.06</v>
      </c>
      <c r="D31" s="49">
        <v>219.76</v>
      </c>
    </row>
    <row r="32" spans="1:7">
      <c r="A32" s="44" t="s">
        <v>262</v>
      </c>
      <c r="B32" s="48">
        <v>973</v>
      </c>
      <c r="C32" s="49">
        <v>237806.69</v>
      </c>
      <c r="D32" s="49">
        <v>244.41</v>
      </c>
    </row>
    <row r="33" spans="1:4">
      <c r="A33" s="44" t="s">
        <v>263</v>
      </c>
      <c r="B33" s="48">
        <v>1772</v>
      </c>
      <c r="C33" s="49">
        <v>231220.43</v>
      </c>
      <c r="D33" s="49">
        <v>130.49</v>
      </c>
    </row>
    <row r="34" spans="1:4">
      <c r="A34" s="44" t="s">
        <v>264</v>
      </c>
      <c r="B34" s="48">
        <v>348</v>
      </c>
      <c r="C34" s="49">
        <v>230797.02</v>
      </c>
      <c r="D34" s="49">
        <v>663.21</v>
      </c>
    </row>
    <row r="35" spans="1:4">
      <c r="A35" s="44" t="s">
        <v>265</v>
      </c>
      <c r="B35" s="48">
        <v>578</v>
      </c>
      <c r="C35" s="49">
        <v>200833.5</v>
      </c>
      <c r="D35" s="49">
        <v>347.46</v>
      </c>
    </row>
    <row r="36" spans="1:4">
      <c r="A36" s="44" t="s">
        <v>266</v>
      </c>
      <c r="B36" s="48">
        <v>1311</v>
      </c>
      <c r="C36" s="49">
        <v>184706.78</v>
      </c>
      <c r="D36" s="49">
        <v>140.88999999999999</v>
      </c>
    </row>
    <row r="37" spans="1:4">
      <c r="A37" s="44" t="s">
        <v>267</v>
      </c>
      <c r="B37" s="48">
        <v>319</v>
      </c>
      <c r="C37" s="49">
        <v>171973.55</v>
      </c>
      <c r="D37" s="49">
        <v>539.1</v>
      </c>
    </row>
    <row r="38" spans="1:4">
      <c r="A38" s="44" t="s">
        <v>268</v>
      </c>
      <c r="B38" s="48">
        <v>910</v>
      </c>
      <c r="C38" s="49">
        <v>171924.96</v>
      </c>
      <c r="D38" s="49">
        <v>188.93</v>
      </c>
    </row>
    <row r="39" spans="1:4">
      <c r="A39" s="44" t="s">
        <v>269</v>
      </c>
      <c r="B39" s="48">
        <v>1145</v>
      </c>
      <c r="C39" s="49">
        <v>160278.51999999999</v>
      </c>
      <c r="D39" s="49">
        <v>139.97999999999999</v>
      </c>
    </row>
    <row r="40" spans="1:4">
      <c r="A40" s="44" t="s">
        <v>270</v>
      </c>
      <c r="B40" s="48">
        <v>1261</v>
      </c>
      <c r="C40" s="49">
        <v>156606.48000000001</v>
      </c>
      <c r="D40" s="49">
        <v>124.19</v>
      </c>
    </row>
    <row r="41" spans="1:4">
      <c r="A41" s="44" t="s">
        <v>271</v>
      </c>
      <c r="B41" s="48">
        <v>1819</v>
      </c>
      <c r="C41" s="49">
        <v>148050.94</v>
      </c>
      <c r="D41" s="49">
        <v>81.39</v>
      </c>
    </row>
    <row r="42" spans="1:4">
      <c r="A42" s="44" t="s">
        <v>272</v>
      </c>
      <c r="B42" s="48">
        <v>1399</v>
      </c>
      <c r="C42" s="49">
        <v>141712.94</v>
      </c>
      <c r="D42" s="49">
        <v>101.3</v>
      </c>
    </row>
    <row r="43" spans="1:4">
      <c r="A43" s="44" t="s">
        <v>273</v>
      </c>
      <c r="B43" s="48">
        <v>503</v>
      </c>
      <c r="C43" s="49">
        <v>134162.88</v>
      </c>
      <c r="D43" s="49">
        <v>266.73</v>
      </c>
    </row>
    <row r="44" spans="1:4">
      <c r="A44" s="44" t="s">
        <v>274</v>
      </c>
      <c r="B44" s="48">
        <v>702</v>
      </c>
      <c r="C44" s="49">
        <v>130412.74</v>
      </c>
      <c r="D44" s="49">
        <v>185.77</v>
      </c>
    </row>
    <row r="45" spans="1:4">
      <c r="A45" s="44" t="s">
        <v>275</v>
      </c>
      <c r="B45" s="48">
        <v>722</v>
      </c>
      <c r="C45" s="49">
        <v>126278.18</v>
      </c>
      <c r="D45" s="49">
        <v>174.9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showGridLines="0" zoomScaleNormal="100" workbookViewId="0"/>
  </sheetViews>
  <sheetFormatPr defaultColWidth="8.7109375" defaultRowHeight="15"/>
  <cols>
    <col min="1" max="5" width="16" customWidth="1"/>
  </cols>
  <sheetData>
    <row r="1" spans="1:5" ht="19.7">
      <c r="A1" s="16" t="s">
        <v>276</v>
      </c>
    </row>
    <row r="2" spans="1:5">
      <c r="A2" s="54" t="s">
        <v>138</v>
      </c>
      <c r="B2" s="54"/>
      <c r="C2" s="54"/>
      <c r="D2" s="54"/>
      <c r="E2" s="54"/>
    </row>
    <row r="4" spans="1:5" ht="27.75" customHeight="1">
      <c r="A4" s="4" t="s">
        <v>277</v>
      </c>
      <c r="B4" s="4" t="s">
        <v>278</v>
      </c>
      <c r="C4" s="4" t="s">
        <v>279</v>
      </c>
      <c r="D4" s="4" t="s">
        <v>280</v>
      </c>
      <c r="E4" s="4" t="s">
        <v>281</v>
      </c>
    </row>
    <row r="5" spans="1:5">
      <c r="A5" s="47" t="s">
        <v>234</v>
      </c>
      <c r="B5" s="48">
        <v>1</v>
      </c>
      <c r="C5" s="50">
        <v>1</v>
      </c>
      <c r="D5" s="48">
        <v>1</v>
      </c>
      <c r="E5" s="51">
        <v>100</v>
      </c>
    </row>
    <row r="6" spans="1:5">
      <c r="A6" s="47" t="s">
        <v>235</v>
      </c>
      <c r="B6" s="48">
        <v>262</v>
      </c>
      <c r="C6" s="50">
        <v>4.01</v>
      </c>
      <c r="D6" s="48">
        <v>43</v>
      </c>
      <c r="E6" s="51">
        <v>16.41</v>
      </c>
    </row>
    <row r="7" spans="1:5">
      <c r="A7" s="47" t="s">
        <v>236</v>
      </c>
      <c r="B7" s="48">
        <v>1</v>
      </c>
      <c r="C7" s="50">
        <v>5</v>
      </c>
      <c r="D7" s="48">
        <v>0</v>
      </c>
      <c r="E7" s="51">
        <v>0</v>
      </c>
    </row>
    <row r="8" spans="1:5">
      <c r="A8" s="47" t="s">
        <v>237</v>
      </c>
      <c r="B8" s="48">
        <v>741</v>
      </c>
      <c r="C8" s="50">
        <v>4.2</v>
      </c>
      <c r="D8" s="48">
        <v>89</v>
      </c>
      <c r="E8" s="51">
        <v>12.01</v>
      </c>
    </row>
    <row r="9" spans="1:5">
      <c r="A9" s="47" t="s">
        <v>238</v>
      </c>
      <c r="B9" s="48">
        <v>1643</v>
      </c>
      <c r="C9" s="50">
        <v>4.2</v>
      </c>
      <c r="D9" s="48">
        <v>182</v>
      </c>
      <c r="E9" s="51">
        <v>11.08</v>
      </c>
    </row>
    <row r="10" spans="1:5">
      <c r="A10" s="47" t="s">
        <v>239</v>
      </c>
      <c r="B10" s="48">
        <v>2527</v>
      </c>
      <c r="C10" s="50">
        <v>4.1900000000000004</v>
      </c>
      <c r="D10" s="48">
        <v>284</v>
      </c>
      <c r="E10" s="51">
        <v>11.24</v>
      </c>
    </row>
    <row r="11" spans="1:5">
      <c r="A11" s="47" t="s">
        <v>240</v>
      </c>
      <c r="B11" s="48">
        <v>2290</v>
      </c>
      <c r="C11" s="50">
        <v>4.1399999999999997</v>
      </c>
      <c r="D11" s="48">
        <v>293</v>
      </c>
      <c r="E11" s="51">
        <v>12.79</v>
      </c>
    </row>
    <row r="12" spans="1:5">
      <c r="A12" s="47" t="s">
        <v>241</v>
      </c>
      <c r="B12" s="48">
        <v>3517</v>
      </c>
      <c r="C12" s="50">
        <v>4.24</v>
      </c>
      <c r="D12" s="48">
        <v>352</v>
      </c>
      <c r="E12" s="51">
        <v>10.01</v>
      </c>
    </row>
    <row r="13" spans="1:5">
      <c r="A13" s="47" t="s">
        <v>242</v>
      </c>
      <c r="B13" s="48">
        <v>3111</v>
      </c>
      <c r="C13" s="50">
        <v>4.22</v>
      </c>
      <c r="D13" s="48">
        <v>330</v>
      </c>
      <c r="E13" s="51">
        <v>10.61</v>
      </c>
    </row>
    <row r="14" spans="1:5">
      <c r="A14" s="47" t="s">
        <v>243</v>
      </c>
      <c r="B14" s="48">
        <v>3842</v>
      </c>
      <c r="C14" s="50">
        <v>4.26</v>
      </c>
      <c r="D14" s="48">
        <v>381</v>
      </c>
      <c r="E14" s="51">
        <v>9.92</v>
      </c>
    </row>
    <row r="15" spans="1:5">
      <c r="A15" s="47" t="s">
        <v>244</v>
      </c>
      <c r="B15" s="48">
        <v>4165</v>
      </c>
      <c r="C15" s="50">
        <v>4.3099999999999996</v>
      </c>
      <c r="D15" s="48">
        <v>391</v>
      </c>
      <c r="E15" s="51">
        <v>9.39</v>
      </c>
    </row>
    <row r="16" spans="1:5">
      <c r="A16" s="47" t="s">
        <v>245</v>
      </c>
      <c r="B16" s="48">
        <v>4118</v>
      </c>
      <c r="C16" s="50">
        <v>4.2699999999999996</v>
      </c>
      <c r="D16" s="48">
        <v>420</v>
      </c>
      <c r="E16" s="51">
        <v>10.199999999999999</v>
      </c>
    </row>
    <row r="17" spans="1:5">
      <c r="A17" s="47" t="s">
        <v>246</v>
      </c>
      <c r="B17" s="48">
        <v>4446</v>
      </c>
      <c r="C17" s="50">
        <v>4.21</v>
      </c>
      <c r="D17" s="48">
        <v>490</v>
      </c>
      <c r="E17" s="51">
        <v>11.02</v>
      </c>
    </row>
    <row r="18" spans="1:5">
      <c r="A18" s="47" t="s">
        <v>247</v>
      </c>
      <c r="B18" s="48">
        <v>7237</v>
      </c>
      <c r="C18" s="50">
        <v>3.99</v>
      </c>
      <c r="D18" s="48">
        <v>1196</v>
      </c>
      <c r="E18" s="51">
        <v>16.53</v>
      </c>
    </row>
    <row r="19" spans="1:5">
      <c r="A19" s="47" t="s">
        <v>248</v>
      </c>
      <c r="B19" s="48">
        <v>5461</v>
      </c>
      <c r="C19" s="50">
        <v>4.09</v>
      </c>
      <c r="D19" s="48">
        <v>787</v>
      </c>
      <c r="E19" s="51">
        <v>14.41</v>
      </c>
    </row>
    <row r="20" spans="1:5">
      <c r="A20" s="47" t="s">
        <v>249</v>
      </c>
      <c r="B20" s="48">
        <v>7013</v>
      </c>
      <c r="C20" s="50">
        <v>4.1100000000000003</v>
      </c>
      <c r="D20" s="48">
        <v>959</v>
      </c>
      <c r="E20" s="51">
        <v>13.67</v>
      </c>
    </row>
    <row r="21" spans="1:5">
      <c r="A21" s="47" t="s">
        <v>250</v>
      </c>
      <c r="B21" s="48">
        <v>6507</v>
      </c>
      <c r="C21" s="50">
        <v>3.88</v>
      </c>
      <c r="D21" s="48">
        <v>1253</v>
      </c>
      <c r="E21" s="51">
        <v>19.260000000000002</v>
      </c>
    </row>
    <row r="22" spans="1:5">
      <c r="A22" s="47" t="s">
        <v>251</v>
      </c>
      <c r="B22" s="48">
        <v>6948</v>
      </c>
      <c r="C22" s="50">
        <v>3.81</v>
      </c>
      <c r="D22" s="48">
        <v>1468</v>
      </c>
      <c r="E22" s="51">
        <v>21.13</v>
      </c>
    </row>
    <row r="23" spans="1:5">
      <c r="A23" s="47" t="s">
        <v>252</v>
      </c>
      <c r="B23" s="48">
        <v>6752</v>
      </c>
      <c r="C23" s="50">
        <v>4.21</v>
      </c>
      <c r="D23" s="48">
        <v>793</v>
      </c>
      <c r="E23" s="51">
        <v>11.74</v>
      </c>
    </row>
    <row r="24" spans="1:5">
      <c r="A24" s="47" t="s">
        <v>253</v>
      </c>
      <c r="B24" s="48">
        <v>6722</v>
      </c>
      <c r="C24" s="50">
        <v>4.24</v>
      </c>
      <c r="D24" s="48">
        <v>723</v>
      </c>
      <c r="E24" s="51">
        <v>10.76</v>
      </c>
    </row>
    <row r="25" spans="1:5">
      <c r="A25" s="47" t="s">
        <v>254</v>
      </c>
      <c r="B25" s="48">
        <v>6072</v>
      </c>
      <c r="C25" s="50">
        <v>4.3099999999999996</v>
      </c>
      <c r="D25" s="48">
        <v>606</v>
      </c>
      <c r="E25" s="51">
        <v>9.98</v>
      </c>
    </row>
    <row r="26" spans="1:5">
      <c r="A26" s="47" t="s">
        <v>255</v>
      </c>
      <c r="B26" s="48">
        <v>6118</v>
      </c>
      <c r="C26" s="50">
        <v>4.32</v>
      </c>
      <c r="D26" s="48">
        <v>591</v>
      </c>
      <c r="E26" s="51">
        <v>9.66</v>
      </c>
    </row>
    <row r="27" spans="1:5">
      <c r="A27" s="47" t="s">
        <v>256</v>
      </c>
      <c r="B27" s="48">
        <v>6330</v>
      </c>
      <c r="C27" s="50">
        <v>4.3099999999999996</v>
      </c>
      <c r="D27" s="48">
        <v>604</v>
      </c>
      <c r="E27" s="51">
        <v>9.5399999999999991</v>
      </c>
    </row>
    <row r="29" spans="1:5">
      <c r="A29" s="9" t="s">
        <v>282</v>
      </c>
    </row>
    <row r="30" spans="1:5" ht="27.75" customHeight="1">
      <c r="A30" s="4" t="s">
        <v>283</v>
      </c>
      <c r="B30" s="4" t="s">
        <v>284</v>
      </c>
      <c r="C30" s="4" t="s">
        <v>279</v>
      </c>
      <c r="D30" s="4" t="s">
        <v>280</v>
      </c>
      <c r="E30" s="4" t="s">
        <v>281</v>
      </c>
    </row>
    <row r="31" spans="1:5">
      <c r="A31" s="44" t="s">
        <v>285</v>
      </c>
      <c r="B31" s="48">
        <v>88163</v>
      </c>
      <c r="C31" s="50">
        <v>4.29</v>
      </c>
      <c r="D31" s="48">
        <v>8100</v>
      </c>
      <c r="E31" s="51">
        <v>9.19</v>
      </c>
    </row>
    <row r="32" spans="1:5">
      <c r="A32" s="44" t="s">
        <v>286</v>
      </c>
      <c r="B32" s="48">
        <v>1280</v>
      </c>
      <c r="C32" s="50">
        <v>4.04</v>
      </c>
      <c r="D32" s="48">
        <v>157</v>
      </c>
      <c r="E32" s="51">
        <v>12.27</v>
      </c>
    </row>
    <row r="33" spans="1:5">
      <c r="A33" s="44" t="s">
        <v>287</v>
      </c>
      <c r="B33" s="48">
        <v>6381</v>
      </c>
      <c r="C33" s="50">
        <v>2.27</v>
      </c>
      <c r="D33" s="48">
        <v>3979</v>
      </c>
      <c r="E33" s="51">
        <v>62.36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chafai khaled</cp:lastModifiedBy>
  <cp:revision>1</cp:revision>
  <dcterms:created xsi:type="dcterms:W3CDTF">2026-08-24T18:55:14Z</dcterms:created>
  <dcterms:modified xsi:type="dcterms:W3CDTF">2026-08-24T19:34:36Z</dcterms:modified>
  <cp:category/>
  <cp:contentStatus/>
</cp:coreProperties>
</file>